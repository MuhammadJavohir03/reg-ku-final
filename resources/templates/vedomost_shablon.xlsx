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aisaydaliyev\Downloads\"/>
    </mc:Choice>
  </mc:AlternateContent>
  <xr:revisionPtr revIDLastSave="0" documentId="13_ncr:1_{36E27810-4F40-4A55-84FA-8721588AFE78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Table 1" sheetId="1" r:id="rId1"/>
  </sheets>
  <definedNames>
    <definedName name="_xlnm.Print_Area" localSheetId="0">'Table 1'!$A$1:$K$315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" i="1" l="1"/>
  <c r="J13" i="1"/>
  <c r="I13" i="1"/>
  <c r="I19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</calcChain>
</file>

<file path=xl/sharedStrings.xml><?xml version="1.0" encoding="utf-8"?>
<sst xmlns="http://schemas.openxmlformats.org/spreadsheetml/2006/main" count="1005" uniqueCount="351">
  <si>
    <t>Kokand University</t>
  </si>
  <si>
    <t>Yakuniy qaydnoma EKM-1-24, EKM-2-24, EKM-3-24, EKM-4-24, EKM-5-24</t>
  </si>
  <si>
    <t>2025-2026 o'quv yili</t>
  </si>
  <si>
    <t>Talabalar soni:</t>
  </si>
  <si>
    <t>______________</t>
  </si>
  <si>
    <t>Kafedra</t>
  </si>
  <si>
    <t>Xalqaro Turizm va iqtisodiyot</t>
  </si>
  <si>
    <t>Fan</t>
  </si>
  <si>
    <t>Buxgalteriya hisobi</t>
  </si>
  <si>
    <t>Topshirgan:</t>
  </si>
  <si>
    <t>Ta'lim tili</t>
  </si>
  <si>
    <t>O'zbek</t>
  </si>
  <si>
    <t>Imtihon sanasi</t>
  </si>
  <si>
    <t>________________</t>
  </si>
  <si>
    <t>Topshirmagan:</t>
  </si>
  <si>
    <t>Semestr</t>
  </si>
  <si>
    <t>Kuzgi (2025-2026)</t>
  </si>
  <si>
    <t>Kelmagan:</t>
  </si>
  <si>
    <t>№ T/r</t>
  </si>
  <si>
    <t>Talaba</t>
  </si>
  <si>
    <t>Guruh</t>
  </si>
  <si>
    <t>Semestr uchun reyting balli</t>
  </si>
  <si>
    <t>Yakuniy nazorat</t>
  </si>
  <si>
    <t>Umumiy baho</t>
  </si>
  <si>
    <t>Raqamli ekvivalent</t>
  </si>
  <si>
    <t>Harfiy ekvivalent</t>
  </si>
  <si>
    <t>An'anaviy baho</t>
  </si>
  <si>
    <t>Joriy nazorat</t>
  </si>
  <si>
    <t>Oraliq nazorat</t>
  </si>
  <si>
    <t>Reyting</t>
  </si>
  <si>
    <t>Registrator ofisi boshlig'i</t>
  </si>
  <si>
    <t>_________________________________________</t>
  </si>
  <si>
    <t>ABDURAHMONOV MUHAMMADXON MUZAFFAR O‘G‘LI</t>
  </si>
  <si>
    <t>EKM-1-24</t>
  </si>
  <si>
    <t>34</t>
  </si>
  <si>
    <t>ABDURAZAQOV BEXRUZ MIRMAXAMAT O‘G‘LI</t>
  </si>
  <si>
    <t>18</t>
  </si>
  <si>
    <t>AKBAROVA SHAXZODAXON MUXSINOVNA</t>
  </si>
  <si>
    <t>24</t>
  </si>
  <si>
    <t>O'qituvchi</t>
  </si>
  <si>
    <t>ALIYEV AYUBXON ANVAR O‘G‘LI</t>
  </si>
  <si>
    <t>12</t>
  </si>
  <si>
    <t>ALIYEV UMIDJON MA’MURJON O‘G‘LI</t>
  </si>
  <si>
    <t>14</t>
  </si>
  <si>
    <t>ANVAROVA AZIZAXON ABRORJON QIZI</t>
  </si>
  <si>
    <t>20</t>
  </si>
  <si>
    <t>AXMADALIYEV AZIZBEK XAMDAMJON O‘G‘LI</t>
  </si>
  <si>
    <t>Azamjonov Javlonbek Akmaljon O‘g‘li</t>
  </si>
  <si>
    <t>0</t>
  </si>
  <si>
    <t>A’ZAMJONOVA ODINAXON JAXONGIR QIZI</t>
  </si>
  <si>
    <t>BAXTIYOROV XOJIAKBAR ULUG‘BEK O‘G‘LI</t>
  </si>
  <si>
    <t>BURHONOVA SABRIYAXON ZOIRJON QIZI</t>
  </si>
  <si>
    <t>HOTAMBOYEV HOTAMBOY VOSIDJONOVICH</t>
  </si>
  <si>
    <t>ISLOMOV SHOXRUX NAZIRJON O‘G‘LI</t>
  </si>
  <si>
    <t>Inomov Xusanjon Ibroximjon O‘g‘li</t>
  </si>
  <si>
    <t>26</t>
  </si>
  <si>
    <t>KARIMOVA GULSHANOY IKROMJON QIZI</t>
  </si>
  <si>
    <t>Karimova Dilafruzxon Shavkatjon Qizi</t>
  </si>
  <si>
    <t>28</t>
  </si>
  <si>
    <t>MADAMINOV JAHONGIR HUSANJON O‘G‘LI</t>
  </si>
  <si>
    <t>32</t>
  </si>
  <si>
    <t>MAHKAMJONOV MUHAMMADYUSUF MIRODIL O‘G‘LI</t>
  </si>
  <si>
    <t>60</t>
  </si>
  <si>
    <t>MAHMUDOV SAIDA’ZAMXON KAMOL O‘G‘LI</t>
  </si>
  <si>
    <t>16</t>
  </si>
  <si>
    <t>MAMADALIYEV ELYORJON BAXTIYORJON O‘G‘LI</t>
  </si>
  <si>
    <t>38</t>
  </si>
  <si>
    <t>98</t>
  </si>
  <si>
    <t>MATKARIMOVA NOZIMAXON BAXTIYORJON QIZI</t>
  </si>
  <si>
    <t>MELIBOYEVA MASHXURAXON IKROMJON QIZI</t>
  </si>
  <si>
    <t>MELIBOYEVA SAYYORA JAXONGIR QIZI</t>
  </si>
  <si>
    <t>MELIBOYEVA SUG‘DIYORA SOBITALI QIZI</t>
  </si>
  <si>
    <t>22</t>
  </si>
  <si>
    <t>MIRZARAHMONOV HUSNIDDIN MUZAFFARJON O‘G‘LI</t>
  </si>
  <si>
    <t>MO‘YDINOV ZIKRULLOH AVAZBEK O‘G‘LI</t>
  </si>
  <si>
    <t>72</t>
  </si>
  <si>
    <t>MUSOJONOV SHOHJAHON SHUXRATBEK O‘G‘LI</t>
  </si>
  <si>
    <t>Muratov Odiljon Akbarjon  O‘g‘li</t>
  </si>
  <si>
    <t>88</t>
  </si>
  <si>
    <t>NE’MATOV ABDULAZIZ RUSTAM O‘G‘LI</t>
  </si>
  <si>
    <t>Nomonov Diyorjon Komoldin O‘g‘li</t>
  </si>
  <si>
    <t>ODILOVA MOHINABONU OBIDJON QIZI</t>
  </si>
  <si>
    <t>Odilov Mirzoxidjon Elyor O‘g‘li</t>
  </si>
  <si>
    <t>O‘KTAMOVA MADINAXON G‘AYRATJON QIZI</t>
  </si>
  <si>
    <t>10</t>
  </si>
  <si>
    <t>PAXLAVONOV SAIDISLOMBEK BAXTIYOR O‘G‘LI</t>
  </si>
  <si>
    <t>PULATOVA KAMILA SHERZODOVNA</t>
  </si>
  <si>
    <t>QODIROV BAXROMJON ZOKIROVICH</t>
  </si>
  <si>
    <t>QO‘CHQARALIYEV BEXRUZBEK DONIYORJON O‘G‘LI</t>
  </si>
  <si>
    <t>RAHMONOV ABBOSXON IQBOLJON O‘G‘LI</t>
  </si>
  <si>
    <t>SADIKOV TIMUR ALEKSANDROVICH</t>
  </si>
  <si>
    <t>54</t>
  </si>
  <si>
    <t>80</t>
  </si>
  <si>
    <t>SAIDOV ULUG‘BEK MURODJONOVICH</t>
  </si>
  <si>
    <t>SARIMSAKOV SHERZODJON DILSHODJON O‘G‘LI</t>
  </si>
  <si>
    <t>SATTORALIYEV BARKAMOLJON BAHRIDDIN O‘G‘LI</t>
  </si>
  <si>
    <t>SOLIYEVA SHAXLO AZAMJONOVNA</t>
  </si>
  <si>
    <t>SULAYMONOV ZUXRIDDIN XUSANBOY O‘G‘LI</t>
  </si>
  <si>
    <t>Shavkatov Muhammadayub Shuhratjon O‘g‘li</t>
  </si>
  <si>
    <t>TO‘XTABOYEV HUSANJON RAFIQJON O‘G‘LI</t>
  </si>
  <si>
    <t>TO‘YCHIBOYEV MUHAMMADALI VAHOBJON O‘G‘LI</t>
  </si>
  <si>
    <t>TURDALIYEVA ZAXROXON SOXIBJON QIZI</t>
  </si>
  <si>
    <t>TURG‘UNOVA MUSHTARIYBONU ABDUNOMAN QIZI</t>
  </si>
  <si>
    <t>USMONOVA MUNIRAXON DAVLATJONOVNA</t>
  </si>
  <si>
    <t>30</t>
  </si>
  <si>
    <t>VASILJONOV QOBILJON BURXONJON O‘G‘LI</t>
  </si>
  <si>
    <t>XASANOV MUHAMMADRIZO XURSHID O‘G‘LI</t>
  </si>
  <si>
    <t>XURSANBOYEV DILSHODBEK ILHOM O‘G‘LI</t>
  </si>
  <si>
    <t>YO‘LDASHEV AYUBXON XURSHIDJON O‘G‘LI</t>
  </si>
  <si>
    <t>ZOKIROV MUHAMMADYAXYOXON ABDULATIF O‘G‘LI</t>
  </si>
  <si>
    <t>40</t>
  </si>
  <si>
    <t>ABDULLAYEV DILSHODJON XALIMOVICH</t>
  </si>
  <si>
    <t>EKM-2-24</t>
  </si>
  <si>
    <t>ABDURAXIMOV SARVAR MARUFOVICH</t>
  </si>
  <si>
    <t>ABDURAXMONOVA MOXIRAXON ABDURASUL QIZI</t>
  </si>
  <si>
    <t>AKBAROVA MADINAXON XABIBULLO QIZI</t>
  </si>
  <si>
    <t>ALIYEV DIYORBEK DAVRONJON O‘G‘LI</t>
  </si>
  <si>
    <t>AXMADALIYEV XUMOYUN MIRZO XABIBJON O‘G‘LI</t>
  </si>
  <si>
    <t>AYUPOV UMIDJON ABDUSATTOROVICH</t>
  </si>
  <si>
    <t>Abdusattorov Muxammadamin Erkinjon O‘g‘li</t>
  </si>
  <si>
    <t>Araboyeva Shaxnozaxon Raximjon Qizi</t>
  </si>
  <si>
    <t>A’ZAMOV ZIYOMUXAMMADJON BURXONJON O‘G‘LI</t>
  </si>
  <si>
    <t>BAHROMOV FAXRUZBEK FAXRIDDIN O‘G‘LI</t>
  </si>
  <si>
    <t>BURXONOV DOSTONBEK ASQARJON O‘G‘LI</t>
  </si>
  <si>
    <t>Ergasheva Zulfizarxon Shuxratjon Qizi</t>
  </si>
  <si>
    <t>FAYZIYEVA ZAXRO TOXIROVNA</t>
  </si>
  <si>
    <t>G‘AYRATOV SHAMSIDDIN SHUHRATJON O‘G‘LI</t>
  </si>
  <si>
    <t>G‘ulomov Asrorbek Ahadjon O‘g‘li</t>
  </si>
  <si>
    <t>HUJAYEVA MUHLISAXON RASHID QIZI</t>
  </si>
  <si>
    <t>IBROXIMOVA ODINAXON ILXOMJON QIZI</t>
  </si>
  <si>
    <t>Imomaliyev Otabek Saloxidinovich</t>
  </si>
  <si>
    <t>Isaqjonov Jamshidbek Akmaljon O‘g‘li</t>
  </si>
  <si>
    <t>MADALIYEV MUHAMMADAMIN RASHID O‘G‘LI</t>
  </si>
  <si>
    <t>MADAMINBEKOVA DILNOZA TULQIN QIZI</t>
  </si>
  <si>
    <t>MAHAMADSOIPOV JAVOHIRBEK HIKMATILLO O‘G‘LI</t>
  </si>
  <si>
    <t>MAHMUDOV MUHAMMADRIZO HASAN O‘G‘LI</t>
  </si>
  <si>
    <t>MAKSUDOV JAVOHIR JAXONGIROVICH</t>
  </si>
  <si>
    <t>MAMATKARIMOV SHOXRUXBEK JO‘RAQO‘ZI O‘G‘LI</t>
  </si>
  <si>
    <t>MIRZANABIYEV JASURBEK ZOXIDJON O‘G‘LI</t>
  </si>
  <si>
    <t>MIRZAYEV MUHAMMADAMIN SHUHRATJON O‘G‘LI</t>
  </si>
  <si>
    <t>MO‘LLAYEVA SEVARAXON IMOMALI QIZI</t>
  </si>
  <si>
    <t>MUHAMMADJONOV ZOIRJON ZOKIR O‘G‘LI</t>
  </si>
  <si>
    <t>MURODOV XISRAVBEK HAMDAM O‘G‘LI</t>
  </si>
  <si>
    <t>Mirmaksudov Mirxamid Ganidjanovich</t>
  </si>
  <si>
    <t>Muxammadjonov Jasurbek Ulug‘bek-O‘g‘li</t>
  </si>
  <si>
    <t>Muxtorov Sayidmurod Mirzoxid O‘g‘li</t>
  </si>
  <si>
    <t>NAZAROVA XILOLAXON MURODJON QIZI</t>
  </si>
  <si>
    <t>NAZIROV ISLOMJON JAXONGIR-O‘G‘LI</t>
  </si>
  <si>
    <t>NEMATOV XUMOYUNMIRZO MUSOJON O‘G‘LI</t>
  </si>
  <si>
    <t>NURMATOVA DILZODAXON OYBEK QIZI</t>
  </si>
  <si>
    <t>8</t>
  </si>
  <si>
    <t>ORTIQOV AZIZBEK ULUG‘BEK O‘G‘LI</t>
  </si>
  <si>
    <t>QOSIMOVA MADINAXON ANVAR QIZI</t>
  </si>
  <si>
    <t>Qaxramonjonov Xumoyunmirzo Anvarjon O‘g‘li</t>
  </si>
  <si>
    <t>RADJAPOVA SHIRIN XOLMATJON QIZI</t>
  </si>
  <si>
    <t>RAHMONOV SHAHRIYOR IQBOLJON O‘G‘LI</t>
  </si>
  <si>
    <t>RAXMATOV JAXONGIRBEK ELYORBEK O‘G‘LI</t>
  </si>
  <si>
    <t>RUSTAMOV OLIMJON URMANOVICH</t>
  </si>
  <si>
    <t>Raimov Shaxboz Rasuljon O‘g‘li</t>
  </si>
  <si>
    <t>Rustamqulova Asalxon Alisherjon Qizi</t>
  </si>
  <si>
    <t>SHOKIROV AHRORJON ALIJON O‘G‘LI</t>
  </si>
  <si>
    <t>SIDIKOVA MADINAXON BAXTIYAROVNA</t>
  </si>
  <si>
    <t>SODIROV ABDUMALIK NODIRBEK O‘G‘LI</t>
  </si>
  <si>
    <t>SULEYMONOVA MUNISAXON MAXSADJON QIZI</t>
  </si>
  <si>
    <t>Sultonov Hamidullo Bahodirjon O‘g‘li</t>
  </si>
  <si>
    <t>TURDIKULOV MURODJON IBROHIMJON O‘G‘LI</t>
  </si>
  <si>
    <t>UBAYDULLAYEV SHUKURULLO FAYZULLO O‘G‘LI</t>
  </si>
  <si>
    <t>2</t>
  </si>
  <si>
    <t>USUBJONOV ODILJON SHAVKATJON O‘G‘LI</t>
  </si>
  <si>
    <t>XALILOVA NIGORAXON KARIMJON QIZI</t>
  </si>
  <si>
    <t>XODJIMATOV AKMALJON AXADOVICH</t>
  </si>
  <si>
    <t>XURSANALIYEV NURMUXAMMAD SHERZODJON O‘G‘LI</t>
  </si>
  <si>
    <t>XUSANOV DILMURODJON TULANBOYEVICH</t>
  </si>
  <si>
    <t>Zakirov G‘ayrat Ganiyevich</t>
  </si>
  <si>
    <t>ABDURAXMANOVA SHAXLOXON ZAFARJON QIZI</t>
  </si>
  <si>
    <t>EKM-3-24</t>
  </si>
  <si>
    <t>ABDUSATTOROV SHOXIJAXON SHUKURJON O‘G‘LI</t>
  </si>
  <si>
    <t>ALIJONOV OYBEK ULUG‘BEK-O‘G‘LI</t>
  </si>
  <si>
    <t>AXMADALIYEVA AZIZAXON MUHAMMADRAHIM QIZI</t>
  </si>
  <si>
    <t>36</t>
  </si>
  <si>
    <t>Azizov Jamolxon Abdumalik O‘g‘li</t>
  </si>
  <si>
    <t>BO‘RIBOYEVA SEVARAXON XUSAN-QIZI</t>
  </si>
  <si>
    <t>Baratboyeva Moxigul Rashidxon Qizi</t>
  </si>
  <si>
    <t>Baxromov Jamolxon Yorqinjon O‘g‘li</t>
  </si>
  <si>
    <t>DJURAYEV FUZAYL ALISHER O‘G‘LI</t>
  </si>
  <si>
    <t>74</t>
  </si>
  <si>
    <t>ERGASHEV DIYORBEK DILSHODBEK O‘G‘LI</t>
  </si>
  <si>
    <t>FOZILJONOV MUXAMMADALI SOTVOLDIXUJAYEVICH</t>
  </si>
  <si>
    <t>GOFUROVA SHOXSANAM YULDASHALIYEVNA</t>
  </si>
  <si>
    <t>G‘oyibnazarov Doniyorjon Qodirjon-O‘g‘li</t>
  </si>
  <si>
    <t>HOSHIMJONOV YODGORBEK ABDURASHID O‘G‘LI</t>
  </si>
  <si>
    <t>Hamidova Marjonaxon Baxtiyor Qizi</t>
  </si>
  <si>
    <t>ISAQOVA SHAXODATXON MAMASODIK QIZI</t>
  </si>
  <si>
    <t>ISROILOV ISMOIL IQBOLJON O‘G‘LI</t>
  </si>
  <si>
    <t>Israilov Shohro‘hmirzo Ismoiljon O‘g‘li</t>
  </si>
  <si>
    <t>JALILOVA MOHIGUL NU’MONJON QIZI</t>
  </si>
  <si>
    <t>JURABOYEVA SHANIYE RENATOVNA</t>
  </si>
  <si>
    <t>KARIMOV XAMDAMJON HAKIMJON O‘G‘LI</t>
  </si>
  <si>
    <t>KAXXAROV ZARIF VALIYEVICH</t>
  </si>
  <si>
    <t>90</t>
  </si>
  <si>
    <t>KOMILOV ANIS ULUG‘BEK O‘G‘LI</t>
  </si>
  <si>
    <t>MADAMINOV ELYORJON ERKINJON O‘G‘LI</t>
  </si>
  <si>
    <t>MADAMINOV JALOLXON QODIRJON O‘G‘LI</t>
  </si>
  <si>
    <t>MAHMUDOV RAMZXON RASULJON O‘G‘LI</t>
  </si>
  <si>
    <t>MAMATUMAROV SHOHRUH ILXOMOVICH</t>
  </si>
  <si>
    <t>MEHMONALIYEV UMARXON ZUHRIDDIN O‘G‘LI</t>
  </si>
  <si>
    <t>MELIQO‘ZIYEV BEHRUZBEK NURALI O‘G‘LI</t>
  </si>
  <si>
    <t>MIRZAXAMDAMOVA SHAXNOZA ANVAROVNA</t>
  </si>
  <si>
    <t>MURADYAN YELENA NIKOLAYEVNA</t>
  </si>
  <si>
    <t>PAXLAVONOV SHOHZODBEK BAXTIYORJON O‘G‘LI</t>
  </si>
  <si>
    <t>PIRMATOV RAVSHAN RAXMANOVICH</t>
  </si>
  <si>
    <t>QODIROV ELBEK ALIMARDON O‘G‘LI</t>
  </si>
  <si>
    <t>QODIROV ISLOMJON ISROILJON O‘G‘LI</t>
  </si>
  <si>
    <t>RAHMATULLAYEV MUHAMMADRASUL RUSTAM O‘G‘LI</t>
  </si>
  <si>
    <t>RAHMATULLAYEV XOJIAKBARJON XUSHNUDJON O‘G‘LI</t>
  </si>
  <si>
    <t>SADIKOV BAXODIR MAMUROVICH</t>
  </si>
  <si>
    <t>SHERALIYEV SHOHJAHON SHUHRATALI O‘G‘LI</t>
  </si>
  <si>
    <t>SIDDIQOV OYATILLO RASULJON O‘G‘LI</t>
  </si>
  <si>
    <t>SODIQOV SAIDTEMUR SHERALI O‘G‘LI</t>
  </si>
  <si>
    <t>SODIQOV SODIRJON NOSIRJON O‘G‘LI</t>
  </si>
  <si>
    <t>SOLIYEVA DILDORAXON BAXTIYORJON QIZI</t>
  </si>
  <si>
    <t>Salimov Jasurbek Abduraxmon O‘g‘li</t>
  </si>
  <si>
    <t>TOJIBOYEVA MUBINAXON HAMID QIZI</t>
  </si>
  <si>
    <t>TOSHTEMIROV DILMURODJON VAHOB O‘G‘LI</t>
  </si>
  <si>
    <t>TO‘RAQULOV ABRORJON A’ZAMJON O‘G‘LI</t>
  </si>
  <si>
    <t>TURSUNOV MUNAVVARJON SHOVKATJON O‘G‘LI</t>
  </si>
  <si>
    <t>UMARJONOV BEKZOD BAXODIRJON O‘G‘LI</t>
  </si>
  <si>
    <t>UMAROVA MAFTUNAXON KOMILJON-QIZI</t>
  </si>
  <si>
    <t>USMONOV MUSLIMBEK BAHROMJON O‘G‘LI</t>
  </si>
  <si>
    <t>VAHHOBOV NIZOMIDDIN DILSHODJON O‘G‘LI</t>
  </si>
  <si>
    <t>VALIYEV MIRZOHIDJON VOXID O‘G‘LI</t>
  </si>
  <si>
    <t>XAMIDOV NURISLOM DILSHODJON O‘G‘LI</t>
  </si>
  <si>
    <t>XOMIDOV JAVLONBEK DAVRONBEK O‘G‘LI</t>
  </si>
  <si>
    <t>Xolmirzazoda Xayotxon Shavkatovna</t>
  </si>
  <si>
    <t>YAZZONOV ALIMARDON AKMALJON O‘G‘LI</t>
  </si>
  <si>
    <t>Yusufjonov Tursunali Mo‘ydinjon O‘g‘li</t>
  </si>
  <si>
    <t>Zoxidov Shukrullo Izzatullo O‘g‘li</t>
  </si>
  <si>
    <t>ABDULLAYEV MA’SUDBEK MUXITDIN O‘G‘LI</t>
  </si>
  <si>
    <t>EKM-4-24</t>
  </si>
  <si>
    <t>ABDURAXIMOVA SEVARAXON MO‘SAQO‘ZI QIZI</t>
  </si>
  <si>
    <t>ABDUSALOMOV AVAZBEK ABDUSALOM O‘G‘LI</t>
  </si>
  <si>
    <t>ALIJONOVA ROXILAXON A’ZAMJON QIZI</t>
  </si>
  <si>
    <t>ASADOVA MAFTUNAXON RAXMONOVNA</t>
  </si>
  <si>
    <t>Adilov Azizbek Xasanovich</t>
  </si>
  <si>
    <t>Anvarov Ro‘zimuhammad Rustamjon O‘g‘li</t>
  </si>
  <si>
    <t>BAHROMOV BOBURMIRZO BAXTIYORJON O‘G‘LI</t>
  </si>
  <si>
    <t>BAXROMOV KAXRAMONJON BAXTIYORJON O‘G‘LI</t>
  </si>
  <si>
    <t>BAXTIYOROV ZAFARJON DILSHODJON O‘G‘LI</t>
  </si>
  <si>
    <t>BOTIROV NODIRBEK OLIMJON O‘G‘LI</t>
  </si>
  <si>
    <t>BUTAQULOV ISLOMBEK IQBOLJON O‘G‘LI</t>
  </si>
  <si>
    <t>EGAMBERDIYEV SHUKUR SHUXRATOVICH</t>
  </si>
  <si>
    <t>ERKINOVA SHAXRUZA UCHQUN QIZI</t>
  </si>
  <si>
    <t>G’IYOSOV MUHAMMADYUSUF MUXTORJON O‘G‘LI</t>
  </si>
  <si>
    <t>IBRAGIMOV FAYZULLAXON XAMDAM O‘G‘LI</t>
  </si>
  <si>
    <t>ISLOMOV MUHAMMADAYUBXON MUZAFFAR O‘G‘LI</t>
  </si>
  <si>
    <t>Ikromova Maxliyoxon Valijon Qizi</t>
  </si>
  <si>
    <t>JO‘RAYEV FARIDBEK BEHZOD O‘G‘LI</t>
  </si>
  <si>
    <t>KARIYEV AKMAL RUSTAMOVICH</t>
  </si>
  <si>
    <t>KIMSANOV AXLIYORBEK O‘KTAMJON O‘G‘LI</t>
  </si>
  <si>
    <t>LATIPOV BOBURMIRZO SOBIR O‘G‘LI</t>
  </si>
  <si>
    <t>MAHMUDOVA DILBARXON HABIBULLO QIZI</t>
  </si>
  <si>
    <t>MAMUROV UBAYDULLO MUSAJON O‘G‘LI</t>
  </si>
  <si>
    <t>MAXMUDOV TO‘LQINJON XOMIDJON O‘G‘LI</t>
  </si>
  <si>
    <t>MIRZAYEV SAIDMALIK MUZAFFARJON O‘G‘LI</t>
  </si>
  <si>
    <t>MO‘MINOV BEHRO‘Z ZUXRIDDIN O‘G‘LI</t>
  </si>
  <si>
    <t>MO‘YDINOV RASHIDXON FARHODJON O‘G‘LI</t>
  </si>
  <si>
    <t>MURATOVA MADINA ILXOMOVNA</t>
  </si>
  <si>
    <t>MURODOVA MOHIRAXON BAXTIYORJON QIZI</t>
  </si>
  <si>
    <t>MUROTJONOV SHAROFIDDIN MUROTJON O‘G‘LI</t>
  </si>
  <si>
    <t>Mamajonov Ravshanjon Xayotjon O‘g‘li</t>
  </si>
  <si>
    <t>Murotov Jamshidbek Umidjon O‘g‘li</t>
  </si>
  <si>
    <t>OBIDJONOVA SHAHNOZAXON XALILOVNA</t>
  </si>
  <si>
    <t>Omonova Masturaxon Orifjon Qizi</t>
  </si>
  <si>
    <t>QODIRJONOVA DIYORA QODIRJON QIZI</t>
  </si>
  <si>
    <t>QODIROVA GAVHARXON MUXTORJON QIZI</t>
  </si>
  <si>
    <t>QODIROVA MUAZZAM ABUBAKIR QIZI</t>
  </si>
  <si>
    <t>Qodirova Zarnigor Axror-Qizi</t>
  </si>
  <si>
    <t>RAHMONALIYEV SHOHRUH SUXROBJON O‘G‘LI</t>
  </si>
  <si>
    <t>RASHIDOV MUHAMMADXON ULUG‘BEK O‘G‘LI</t>
  </si>
  <si>
    <t>Raximova Madinaxon Maqsudjon Qizi</t>
  </si>
  <si>
    <t>SOBIROV DIYORBEK FARHOD O‘G‘LI</t>
  </si>
  <si>
    <t>Sheraliyev Javlonbek Bahromjon-O‘g‘li</t>
  </si>
  <si>
    <t>TO‘RAQULOVA MUXLISAXON ABDUXAMID QIZI</t>
  </si>
  <si>
    <t>TURSUNOVA IRODAXON O‘LSMASXO‘JA QIZI</t>
  </si>
  <si>
    <t>TUXTASINOV SARDOR RAXMONOVICH</t>
  </si>
  <si>
    <t>XABIBULLAYEVA NASIBA RUSTAMBEK QIZI</t>
  </si>
  <si>
    <t>XAMIDOVA GULSHANOY RUSTAMOVNA</t>
  </si>
  <si>
    <t>XAMZALIYEV SUNNATULLO SHERZODOVICH</t>
  </si>
  <si>
    <t>XASANOVA IRODAXON FARXODJON  QIZI</t>
  </si>
  <si>
    <t>XAYDAROV OZODBEK ERKINOVICH</t>
  </si>
  <si>
    <t>YUSUPOV ABDULBOSIT MANSURJON O‘G‘LI</t>
  </si>
  <si>
    <t>ABDUQODIROV ABDULLOX ABDUMALIK O‘G‘LI</t>
  </si>
  <si>
    <t>EKM-5-24</t>
  </si>
  <si>
    <t>AHMEDOVA MARHABO ABDUHALIL QIZI</t>
  </si>
  <si>
    <t>ALIJONOV RUSTAMJON RAVSHANJON O‘G‘LI</t>
  </si>
  <si>
    <t>ALIYEV A’ZAMJON AMINJON O‘G‘LI</t>
  </si>
  <si>
    <t>AXMADJONOV ABRORBEK AXRORJON O‘G‘LI</t>
  </si>
  <si>
    <t>Abdirasulov Sirojiddin Mamasidikovich</t>
  </si>
  <si>
    <t>Abdullayev Ilyosjon Zoxidjon O‘g‘li</t>
  </si>
  <si>
    <t>Abdullayeva E’zozxon Baxtiyorovna</t>
  </si>
  <si>
    <t>Anvarjonova Durdonaxon Mirzohid Qizi</t>
  </si>
  <si>
    <t>Axmadjonov Shukurullo Axrorjon O‘g‘li</t>
  </si>
  <si>
    <t>Axmedov Kamoliddin Jamolidin O‘g‘li</t>
  </si>
  <si>
    <t>A’ZAMOV HUMOYUN HUSANJON O‘G‘LI</t>
  </si>
  <si>
    <t>BAHROMOV RUSTAMJON ADHAMJON O`G`LI</t>
  </si>
  <si>
    <t>BAXROMOV MUXAMMADAZIZ BAXODIR O‘G‘LI</t>
  </si>
  <si>
    <t>Davlatov Shoxruh Hasan O‘g‘li</t>
  </si>
  <si>
    <t>Ergashev Shahriyor Alixon O‘g‘li</t>
  </si>
  <si>
    <t>ISMATOV SARDORBEK SULTONBEK O‘G‘LI</t>
  </si>
  <si>
    <t>KAMBAROVA MAFTUNA MUSINOVNA</t>
  </si>
  <si>
    <t>KIMSANOV SHERZODJON NOZIMOVICH</t>
  </si>
  <si>
    <t>KOMILOV OZODBEK MUZAFFAR O‘G‘LI</t>
  </si>
  <si>
    <t>Komilov Azizbek Avazbek O‘g‘li</t>
  </si>
  <si>
    <t>MADRAXIMOV BEKZOD MA’RUFJON O‘G‘LI</t>
  </si>
  <si>
    <t>MAMADJANOVA SHAXODATXON NABIJON-QIZI</t>
  </si>
  <si>
    <t>MAMATKULOV LAZIZJON AXADJON O‘G‘LI</t>
  </si>
  <si>
    <t>MIRZAAXMEDOV SHUXRAT MIRZAYEVICH</t>
  </si>
  <si>
    <t>MIRZAYEVA UMIDA RAXMONOVNA</t>
  </si>
  <si>
    <t>MUHAMMADJONOV ABRORJON MIRZOHIDJON O‘G‘LI</t>
  </si>
  <si>
    <t>Mahmudov Islomjon Ikromjon O‘g‘li</t>
  </si>
  <si>
    <t>NOSIROV HASANBOY HUSANBOY O‘G‘LI</t>
  </si>
  <si>
    <t>Nishonboyeva Muxlisaxon Xamdamjon Qizi</t>
  </si>
  <si>
    <t>OHUNJONOV HUSRAVBEK HUSANJON O‘G‘LI</t>
  </si>
  <si>
    <t>OLIMJONOV MAVLONJON ODILJON O‘G‘LI</t>
  </si>
  <si>
    <t>OLIMOV OLIMJON RUSTAM O‘G‘LI</t>
  </si>
  <si>
    <t>OTAJONOV AYUBXON ULUG‘BEK O‘G‘LI</t>
  </si>
  <si>
    <t>Odilov Qutlug‘bek Baxodirjon O‘g‘li</t>
  </si>
  <si>
    <t>Polvonov Behzod Kayumovich</t>
  </si>
  <si>
    <t>QOSIMOV ISLOMXON ASLAMJON O‘G‘LI</t>
  </si>
  <si>
    <t>RASULOV AYUBXON ADHAM O‘G‘LI</t>
  </si>
  <si>
    <t>57</t>
  </si>
  <si>
    <t>89</t>
  </si>
  <si>
    <t>RAXIMDJANOV MUXAMMADRASUL RUSTAM O‘G‘LI</t>
  </si>
  <si>
    <t>SALIMOV IBROXIMJON ILYOSJON  O‘G‘LI</t>
  </si>
  <si>
    <t>SOBIROV JALOLXON HASAN O‘G‘LI</t>
  </si>
  <si>
    <t>SOBIROV MUBOSHIR MADAMINJON O‘G‘LI</t>
  </si>
  <si>
    <t>SODIQOVA MADINAXON GULAMOVNA</t>
  </si>
  <si>
    <t>84</t>
  </si>
  <si>
    <t>SOLIJONOV OTABEK ILXOMJON O‘G‘LI</t>
  </si>
  <si>
    <t>SULTONOVA YODGORXON MUXAMMADJONOVNA</t>
  </si>
  <si>
    <t>Saidova Maxliyoxon Eldorovna</t>
  </si>
  <si>
    <t>Sharobiddinov Abdulloh Baxtiyorjon O‘g‘li</t>
  </si>
  <si>
    <t>TADJIYEVA SHAXZODAXON ZOKIRJON  QIZI</t>
  </si>
  <si>
    <t>TOSHTEMIROVA QUNDUZXON MUXTOROVNA</t>
  </si>
  <si>
    <t>Tadjibayeva Nargiza Maxammadovna</t>
  </si>
  <si>
    <t>VAXOBOV ASADBEK XAMIDJON O‘G‘LI</t>
  </si>
  <si>
    <t>XAYDAROV BEKZOD ZARIFJON O‘G‘LI</t>
  </si>
  <si>
    <t>Xo‘jayev Raxmonxon Lazizxon O‘g‘li</t>
  </si>
  <si>
    <t>ZIYAVITDINOV AZIZBEK AZAMOVICH</t>
  </si>
  <si>
    <t>ZOKIROV AKBARJON DILMUROD O‘G‘LI</t>
  </si>
  <si>
    <t>Zaynobiddinov Akbarxon Jaxongir O‘g‘li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</si>
</sst>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charset val="204"/>
    </font>
    <font>
      <b/>
      <sz val="26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8"/>
      <name val="Calibri"/>
      <family val="2"/>
      <charset val="204"/>
    </font>
    <font>
      <sz val="14"/>
      <color rgb="FF000000"/>
      <name val="Calibri"/>
      <family val="2"/>
      <charset val="204"/>
    </font>
    <font>
      <sz val="20"/>
      <color rgb="FF000000"/>
      <name val="Calibri"/>
      <family val="2"/>
      <charset val="204"/>
    </font>
    <font>
      <sz val="18"/>
      <name val="Calibri"/>
      <family val="2"/>
      <charset val="204"/>
    </font>
    <font>
      <sz val="18"/>
      <color rgb="FF000000"/>
      <name val="Calibri"/>
      <family val="2"/>
      <charset val="204"/>
    </font>
    <font>
      <sz val="20"/>
      <name val="Calibri"/>
      <family val="2"/>
      <charset val="204"/>
    </font>
    <font>
      <sz val="12"/>
      <name val="Calibri"/>
      <family val="2"/>
      <charset val="204"/>
    </font>
    <font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1" fillId="0" borderId="1" xfId="0" applyFont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left" vertical="top" indent="1" shrinkToFit="1"/>
    </xf>
    <xf numFmtId="0" fontId="12" fillId="2" borderId="1" xfId="0" applyFont="1" applyFill="1" applyBorder="1"/>
    <xf numFmtId="1" fontId="12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1" fontId="12" fillId="2" borderId="3" xfId="0" applyNumberFormat="1" applyFont="1" applyFill="1" applyBorder="1" applyAlignment="1">
      <alignment horizontal="left" vertical="top" indent="1" shrinkToFit="1"/>
    </xf>
    <xf numFmtId="0" fontId="12" fillId="2" borderId="3" xfId="0" applyFont="1" applyFill="1" applyBorder="1"/>
    <xf numFmtId="1" fontId="12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5"/>
  <sheetViews>
    <sheetView tabSelected="1" zoomScale="70" zoomScaleNormal="70" workbookViewId="0">
      <selection activeCell="P6" sqref="P6"/>
    </sheetView>
  </sheetViews>
  <sheetFormatPr defaultColWidth="9.33203125" defaultRowHeight="12.75" x14ac:dyDescent="0.2"/>
  <cols>
    <col min="1" max="1" width="4.6640625" style="1" customWidth="1"/>
    <col min="2" max="2" width="66" style="1" customWidth="1"/>
    <col min="3" max="3" width="12.6640625" style="1" customWidth="1"/>
    <col min="4" max="4" width="10.6640625" style="1" customWidth="1"/>
    <col min="5" max="5" width="11.1640625" style="1" customWidth="1"/>
    <col min="6" max="6" width="11.5" style="1" customWidth="1"/>
    <col min="7" max="7" width="10.5" style="1" customWidth="1"/>
    <col min="8" max="10" width="12.6640625" style="1" customWidth="1"/>
    <col min="11" max="11" width="14" style="1" customWidth="1"/>
    <col min="12" max="12" width="9.33203125" style="1"/>
    <col min="13" max="13" width="6.33203125" style="1" customWidth="1"/>
    <col min="14" max="14" width="21" style="1" customWidth="1"/>
    <col min="15" max="15" width="27.33203125" style="1" customWidth="1"/>
    <col min="16" max="16" width="15.83203125" style="1" customWidth="1"/>
    <col min="17" max="17" width="9" style="1" customWidth="1"/>
    <col min="18" max="18" width="17.83203125" style="1" customWidth="1"/>
    <col min="19" max="19" width="13.5" style="1" customWidth="1"/>
    <col min="20" max="20" width="54" style="1" customWidth="1"/>
    <col min="21" max="16384" width="9.33203125" style="1"/>
  </cols>
  <sheetData>
    <row r="1" spans="1:23" ht="51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U1" s="3"/>
      <c r="V1" s="3"/>
      <c r="W1" s="3"/>
    </row>
    <row r="2" spans="1:23" ht="41.25" customHeight="1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U2" s="3"/>
      <c r="V2" s="3"/>
      <c r="W2" s="3"/>
    </row>
    <row r="3" spans="1:23" ht="51.75" customHeight="1" x14ac:dyDescent="0.2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U3" s="3"/>
      <c r="V3" s="3"/>
      <c r="W3" s="3"/>
    </row>
    <row r="4" spans="1:23" ht="26.25" customHeight="1" x14ac:dyDescent="0.2">
      <c r="A4" s="5"/>
      <c r="B4" s="6" t="s">
        <v>5</v>
      </c>
      <c r="C4" s="7" t="s">
        <v>6</v>
      </c>
      <c r="D4" s="7"/>
      <c r="E4" s="7"/>
      <c r="F4" s="7"/>
      <c r="G4" s="7"/>
      <c r="H4" s="7"/>
      <c r="I4" s="7"/>
      <c r="J4" s="7"/>
      <c r="K4" s="5"/>
      <c r="U4" s="3"/>
      <c r="V4" s="3"/>
      <c r="W4" s="3"/>
    </row>
    <row r="5" spans="1:23" ht="26.25" customHeight="1" x14ac:dyDescent="0.2">
      <c r="A5" s="5"/>
      <c r="B5" s="6" t="s">
        <v>7</v>
      </c>
      <c r="C5" s="7" t="s">
        <v>8</v>
      </c>
      <c r="D5" s="7"/>
      <c r="E5" s="7"/>
      <c r="F5" s="7"/>
      <c r="G5" s="7"/>
      <c r="H5" s="7"/>
      <c r="I5" s="7"/>
      <c r="J5" s="7"/>
      <c r="K5" s="5"/>
      <c r="U5" s="3"/>
      <c r="V5" s="3"/>
      <c r="W5" s="3"/>
    </row>
    <row r="6" spans="1:23" ht="26.25" customHeight="1" x14ac:dyDescent="0.2">
      <c r="A6" s="5"/>
      <c r="B6" s="6" t="s">
        <v>10</v>
      </c>
      <c r="C6" s="7" t="s">
        <v>11</v>
      </c>
      <c r="D6" s="7"/>
      <c r="E6" s="7"/>
      <c r="F6" s="7"/>
      <c r="G6" s="7"/>
      <c r="H6" s="7"/>
      <c r="I6" s="7"/>
      <c r="J6" s="7"/>
      <c r="K6" s="5"/>
      <c r="U6" s="3"/>
      <c r="V6" s="3"/>
      <c r="W6" s="3"/>
    </row>
    <row r="7" spans="1:23" ht="26.25" customHeight="1" x14ac:dyDescent="0.2">
      <c r="A7" s="5"/>
      <c r="B7" s="6" t="s">
        <v>12</v>
      </c>
      <c r="C7" s="7" t="s">
        <v>13</v>
      </c>
      <c r="D7" s="7"/>
      <c r="E7" s="7"/>
      <c r="F7" s="7"/>
      <c r="G7" s="7"/>
      <c r="H7" s="7"/>
      <c r="I7" s="7"/>
      <c r="J7" s="7"/>
      <c r="K7" s="5"/>
      <c r="U7" s="3"/>
      <c r="V7" s="3"/>
      <c r="W7" s="3"/>
    </row>
    <row r="8" spans="1:23" ht="26.25" customHeight="1" x14ac:dyDescent="0.2">
      <c r="A8" s="5"/>
      <c r="B8" s="6" t="s">
        <v>15</v>
      </c>
      <c r="C8" s="7" t="s">
        <v>16</v>
      </c>
      <c r="D8" s="7"/>
      <c r="E8" s="7"/>
      <c r="F8" s="7"/>
      <c r="G8" s="7"/>
      <c r="H8" s="7"/>
      <c r="I8" s="7"/>
      <c r="J8" s="7"/>
      <c r="K8" s="5"/>
      <c r="U8" s="3"/>
      <c r="V8" s="3"/>
      <c r="W8" s="3"/>
    </row>
    <row r="9" spans="1:23" ht="16.5" customHeight="1" x14ac:dyDescent="0.2">
      <c r="A9" s="5"/>
      <c r="B9" s="8"/>
      <c r="C9" s="5"/>
      <c r="D9" s="5"/>
      <c r="E9" s="5"/>
      <c r="F9" s="5"/>
      <c r="G9" s="5"/>
      <c r="H9" s="5"/>
      <c r="I9" s="5"/>
      <c r="J9" s="5"/>
      <c r="K9" s="5"/>
      <c r="U9" s="3"/>
      <c r="V9" s="3"/>
      <c r="W9" s="3"/>
    </row>
    <row r="10" spans="1:23" ht="16.5" customHeight="1" x14ac:dyDescent="0.2">
      <c r="A10" s="5"/>
      <c r="B10" s="8"/>
      <c r="C10" s="5"/>
      <c r="D10" s="5"/>
      <c r="E10" s="5"/>
      <c r="F10" s="5"/>
      <c r="G10" s="5"/>
      <c r="H10" s="5"/>
      <c r="I10" s="5"/>
      <c r="J10" s="5"/>
      <c r="K10" s="5"/>
      <c r="U10" s="3"/>
      <c r="V10" s="3"/>
      <c r="W10" s="3"/>
    </row>
    <row r="11" spans="1:23" ht="19.5" customHeight="1" x14ac:dyDescent="0.2">
      <c r="A11" s="24" t="s">
        <v>18</v>
      </c>
      <c r="B11" s="24" t="s">
        <v>19</v>
      </c>
      <c r="C11" s="24" t="s">
        <v>20</v>
      </c>
      <c r="D11" s="24" t="s">
        <v>21</v>
      </c>
      <c r="E11" s="24"/>
      <c r="F11" s="24"/>
      <c r="G11" s="24" t="s">
        <v>22</v>
      </c>
      <c r="H11" s="24" t="s">
        <v>23</v>
      </c>
      <c r="I11" s="24" t="s">
        <v>24</v>
      </c>
      <c r="J11" s="24" t="s">
        <v>25</v>
      </c>
      <c r="K11" s="24" t="s">
        <v>26</v>
      </c>
      <c r="U11" s="3"/>
      <c r="V11" s="3"/>
      <c r="W11" s="3"/>
    </row>
    <row r="12" spans="1:23" ht="31.5" customHeight="1" x14ac:dyDescent="0.2">
      <c r="A12" s="24"/>
      <c r="B12" s="24"/>
      <c r="C12" s="24"/>
      <c r="D12" s="9" t="s">
        <v>27</v>
      </c>
      <c r="E12" s="9" t="s">
        <v>28</v>
      </c>
      <c r="F12" s="9" t="s">
        <v>29</v>
      </c>
      <c r="G12" s="24"/>
      <c r="H12" s="24"/>
      <c r="I12" s="24"/>
      <c r="J12" s="24"/>
      <c r="K12" s="24"/>
      <c r="U12" s="3"/>
      <c r="V12" s="3"/>
      <c r="W12" s="3"/>
    </row>
    <row r="13" spans="1:23" ht="15.75" customHeight="1" x14ac:dyDescent="0.25">
      <c r="A13" s="10">
        <v>1</v>
      </c>
      <c r="B13" s="11" t="s">
        <v>32</v>
      </c>
      <c r="C13" s="11" t="s">
        <v>33</v>
      </c>
      <c r="D13" s="12">
        <v>38.19</v>
      </c>
      <c r="E13" s="12">
        <v>19.8</v>
      </c>
      <c r="F13" s="12">
        <v>57.99</v>
      </c>
      <c r="G13" s="12" t="s">
        <v>34</v>
      </c>
      <c r="H13" s="12">
        <v>91.99</v>
      </c>
      <c r="I13" s="12">
        <f>IF(H13*1&gt;=95,4.5,IF(H13*1&gt;=90,4,IF(H13*1&gt;=80,3.5,IF(H13*1&gt;=70,3,IF(H13*1&gt;=65,2.5,IF(H13*1&gt;=60,2,0))))))</f>
        <v>4</v>
      </c>
      <c r="J13" s="13" t="str">
        <f>IF(H13*1&gt;=95,"A+",IF(H13*1&gt;=90,"A",IF(H13*1&gt;=80,"B+",IF(H13*1&gt;=70,"B",IF(H13*1&gt;=65,"C+",IF(H13*1&gt;=60,"C","F"))))))</f>
        <v>A</v>
      </c>
      <c r="K13" s="14" t="str">
        <f>IF(H13*1&gt;=70,"Yaxshi",IF(H13*1&gt;=60,"Qoniqarli","Qoniqarsiz"))</f>
        <v>Yaxshi</v>
      </c>
      <c r="U13" s="3"/>
      <c r="V13" s="3"/>
      <c r="W13" s="3"/>
    </row>
    <row r="14" spans="1:23" ht="15.75" customHeight="1" x14ac:dyDescent="0.25">
      <c r="A14" s="10">
        <v>2</v>
      </c>
      <c r="B14" s="11" t="s">
        <v>35</v>
      </c>
      <c r="C14" s="11" t="s">
        <v>33</v>
      </c>
      <c r="D14" s="12">
        <v>34.17</v>
      </c>
      <c r="E14" s="12">
        <v>14.85</v>
      </c>
      <c r="F14" s="12">
        <v>49.02</v>
      </c>
      <c r="G14" s="12" t="s">
        <v>36</v>
      </c>
      <c r="H14" s="12">
        <v>67.02</v>
      </c>
      <c r="I14" s="12">
        <f t="shared" ref="I14:I76" si="0">IF(H14*1&gt;=95,4.5,IF(H14*1&gt;=90,4,IF(H14*1&gt;=80,3.5,IF(H14*1&gt;=70,3,IF(H14*1&gt;=65,2.5,IF(H14*1&gt;=60,2,0))))))</f>
        <v>2.5</v>
      </c>
      <c r="J14" s="13" t="str">
        <f t="shared" ref="J14:J76" si="1">IF(H14*1&gt;=95,"A+",IF(H14*1&gt;=90,"A",IF(H14*1&gt;=80,"B+",IF(H14*1&gt;=70,"B",IF(H14*1&gt;=65,"C+",IF(H14*1&gt;=60,"C","F"))))))</f>
        <v>C+</v>
      </c>
      <c r="K14" s="14" t="str">
        <f t="shared" ref="K14:K76" si="2">IF(H14*1&gt;=70,"Yaxshi",IF(H14*1&gt;=60,"Qoniqarli","Qoniqarsiz"))</f>
        <v>Qoniqarli</v>
      </c>
      <c r="U14" s="3"/>
      <c r="V14" s="3"/>
      <c r="W14" s="3"/>
    </row>
    <row r="15" spans="1:23" ht="18.75" customHeight="1" x14ac:dyDescent="0.25">
      <c r="A15" s="10">
        <v>3</v>
      </c>
      <c r="B15" s="11" t="s">
        <v>37</v>
      </c>
      <c r="C15" s="11" t="s">
        <v>33</v>
      </c>
      <c r="D15" s="12">
        <v>36.979999999999997</v>
      </c>
      <c r="E15" s="12">
        <v>18.809999999999999</v>
      </c>
      <c r="F15" s="12">
        <v>55.79</v>
      </c>
      <c r="G15" s="12" t="s">
        <v>38</v>
      </c>
      <c r="H15" s="12">
        <v>79.790000000000006</v>
      </c>
      <c r="I15" s="12">
        <f t="shared" si="0"/>
        <v>3</v>
      </c>
      <c r="J15" s="13" t="str">
        <f t="shared" si="1"/>
        <v>B</v>
      </c>
      <c r="K15" s="14" t="str">
        <f t="shared" si="2"/>
        <v>Yaxshi</v>
      </c>
      <c r="U15" s="3"/>
      <c r="V15" s="3"/>
      <c r="W15" s="3"/>
    </row>
    <row r="16" spans="1:23" ht="15.75" customHeight="1" x14ac:dyDescent="0.25">
      <c r="A16" s="10">
        <v>4</v>
      </c>
      <c r="B16" s="11" t="s">
        <v>40</v>
      </c>
      <c r="C16" s="11" t="s">
        <v>33</v>
      </c>
      <c r="D16" s="12">
        <v>38.590000000000003</v>
      </c>
      <c r="E16" s="12">
        <v>15.84</v>
      </c>
      <c r="F16" s="12">
        <v>54.43</v>
      </c>
      <c r="G16" s="12" t="s">
        <v>41</v>
      </c>
      <c r="H16" s="12">
        <v>66.430000000000007</v>
      </c>
      <c r="I16" s="12">
        <f t="shared" si="0"/>
        <v>2.5</v>
      </c>
      <c r="J16" s="13" t="str">
        <f t="shared" si="1"/>
        <v>C+</v>
      </c>
      <c r="K16" s="14" t="str">
        <f t="shared" si="2"/>
        <v>Qoniqarli</v>
      </c>
      <c r="U16" s="3"/>
      <c r="V16" s="3"/>
      <c r="W16" s="3"/>
    </row>
    <row r="17" spans="1:23" ht="15.75" customHeight="1" x14ac:dyDescent="0.25">
      <c r="A17" s="10">
        <v>5</v>
      </c>
      <c r="B17" s="11" t="s">
        <v>42</v>
      </c>
      <c r="C17" s="11" t="s">
        <v>33</v>
      </c>
      <c r="D17" s="12">
        <v>39.4</v>
      </c>
      <c r="E17" s="12">
        <v>18.809999999999999</v>
      </c>
      <c r="F17" s="12">
        <v>58.21</v>
      </c>
      <c r="G17" s="12" t="s">
        <v>43</v>
      </c>
      <c r="H17" s="12">
        <v>72.209999999999994</v>
      </c>
      <c r="I17" s="12">
        <f t="shared" si="0"/>
        <v>3</v>
      </c>
      <c r="J17" s="13" t="str">
        <f t="shared" si="1"/>
        <v>B</v>
      </c>
      <c r="K17" s="14" t="str">
        <f t="shared" si="2"/>
        <v>Yaxshi</v>
      </c>
      <c r="U17" s="3"/>
      <c r="V17" s="3"/>
      <c r="W17" s="3"/>
    </row>
    <row r="18" spans="1:23" ht="15.75" customHeight="1" x14ac:dyDescent="0.25">
      <c r="A18" s="10">
        <v>6</v>
      </c>
      <c r="B18" s="11" t="s">
        <v>44</v>
      </c>
      <c r="C18" s="11" t="s">
        <v>33</v>
      </c>
      <c r="D18" s="12">
        <v>36.58</v>
      </c>
      <c r="E18" s="12">
        <v>16.829999999999998</v>
      </c>
      <c r="F18" s="12">
        <v>53.41</v>
      </c>
      <c r="G18" s="12" t="s">
        <v>45</v>
      </c>
      <c r="H18" s="12">
        <v>73.41</v>
      </c>
      <c r="I18" s="12">
        <f t="shared" si="0"/>
        <v>3</v>
      </c>
      <c r="J18" s="13" t="str">
        <f t="shared" si="1"/>
        <v>B</v>
      </c>
      <c r="K18" s="14" t="str">
        <f t="shared" si="2"/>
        <v>Yaxshi</v>
      </c>
      <c r="U18" s="3"/>
      <c r="V18" s="3"/>
      <c r="W18" s="3"/>
    </row>
    <row r="19" spans="1:23" ht="15.75" customHeight="1" x14ac:dyDescent="0.25">
      <c r="A19" s="10">
        <v>7</v>
      </c>
      <c r="B19" s="11" t="s">
        <v>46</v>
      </c>
      <c r="C19" s="11" t="s">
        <v>33</v>
      </c>
      <c r="D19" s="12">
        <v>21.71</v>
      </c>
      <c r="E19" s="12">
        <v>9.9</v>
      </c>
      <c r="F19" s="12">
        <v>31.61</v>
      </c>
      <c r="G19" s="12" t="s">
        <v>45</v>
      </c>
      <c r="H19" s="12">
        <v>51.61</v>
      </c>
      <c r="I19" s="12">
        <f>IF(H19*1&gt;=95,4.5,IF(H19*1&gt;=90,4,IF(H19*1&gt;=80,3.5,IF(H19*1&gt;=70,3,IF(H19*1&gt;=65,2.5,IF(H19*1&gt;=60,2,0))))))</f>
        <v>0</v>
      </c>
      <c r="J19" s="13" t="str">
        <f t="shared" si="1"/>
        <v>F</v>
      </c>
      <c r="K19" s="14" t="str">
        <f t="shared" si="2"/>
        <v>Qoniqarsiz</v>
      </c>
    </row>
    <row r="20" spans="1:23" ht="15.75" customHeight="1" x14ac:dyDescent="0.25">
      <c r="A20" s="10">
        <v>8</v>
      </c>
      <c r="B20" s="11" t="s">
        <v>47</v>
      </c>
      <c r="C20" s="11" t="s">
        <v>33</v>
      </c>
      <c r="D20" s="12" t="s">
        <v>48</v>
      </c>
      <c r="E20" s="12" t="s">
        <v>48</v>
      </c>
      <c r="F20" s="12" t="s">
        <v>48</v>
      </c>
      <c r="G20" s="12" t="s">
        <v>48</v>
      </c>
      <c r="H20" s="12" t="s">
        <v>48</v>
      </c>
      <c r="I20" s="12">
        <f t="shared" si="0"/>
        <v>0</v>
      </c>
      <c r="J20" s="13" t="str">
        <f t="shared" si="1"/>
        <v>F</v>
      </c>
      <c r="K20" s="14" t="str">
        <f t="shared" si="2"/>
        <v>Qoniqarsiz</v>
      </c>
    </row>
    <row r="21" spans="1:23" ht="15.75" customHeight="1" x14ac:dyDescent="0.25">
      <c r="A21" s="10">
        <v>9</v>
      </c>
      <c r="B21" s="11" t="s">
        <v>49</v>
      </c>
      <c r="C21" s="11" t="s">
        <v>33</v>
      </c>
      <c r="D21" s="12">
        <v>37.79</v>
      </c>
      <c r="E21" s="12">
        <v>19.8</v>
      </c>
      <c r="F21" s="12">
        <v>57.59</v>
      </c>
      <c r="G21" s="12" t="s">
        <v>36</v>
      </c>
      <c r="H21" s="12">
        <v>75.59</v>
      </c>
      <c r="I21" s="12">
        <f t="shared" si="0"/>
        <v>3</v>
      </c>
      <c r="J21" s="13" t="str">
        <f t="shared" si="1"/>
        <v>B</v>
      </c>
      <c r="K21" s="14" t="str">
        <f t="shared" si="2"/>
        <v>Yaxshi</v>
      </c>
    </row>
    <row r="22" spans="1:23" ht="15.75" customHeight="1" x14ac:dyDescent="0.25">
      <c r="A22" s="10">
        <v>10</v>
      </c>
      <c r="B22" s="11" t="s">
        <v>50</v>
      </c>
      <c r="C22" s="11" t="s">
        <v>33</v>
      </c>
      <c r="D22" s="12">
        <v>28.54</v>
      </c>
      <c r="E22" s="12">
        <v>18.809999999999999</v>
      </c>
      <c r="F22" s="12">
        <v>47.35</v>
      </c>
      <c r="G22" s="12" t="s">
        <v>48</v>
      </c>
      <c r="H22" s="12">
        <v>47.35</v>
      </c>
      <c r="I22" s="12">
        <f t="shared" si="0"/>
        <v>0</v>
      </c>
      <c r="J22" s="13" t="str">
        <f t="shared" si="1"/>
        <v>F</v>
      </c>
      <c r="K22" s="14" t="str">
        <f t="shared" si="2"/>
        <v>Qoniqarsiz</v>
      </c>
    </row>
    <row r="23" spans="1:23" ht="15.75" customHeight="1" x14ac:dyDescent="0.25">
      <c r="A23" s="10">
        <v>11</v>
      </c>
      <c r="B23" s="11" t="s">
        <v>51</v>
      </c>
      <c r="C23" s="11" t="s">
        <v>33</v>
      </c>
      <c r="D23" s="12">
        <v>32.96</v>
      </c>
      <c r="E23" s="12">
        <v>18.809999999999999</v>
      </c>
      <c r="F23" s="12">
        <v>51.77</v>
      </c>
      <c r="G23" s="12" t="s">
        <v>36</v>
      </c>
      <c r="H23" s="12">
        <v>69.77</v>
      </c>
      <c r="I23" s="12">
        <f t="shared" si="0"/>
        <v>2.5</v>
      </c>
      <c r="J23" s="13" t="str">
        <f t="shared" si="1"/>
        <v>C+</v>
      </c>
      <c r="K23" s="14" t="str">
        <f t="shared" si="2"/>
        <v>Qoniqarli</v>
      </c>
    </row>
    <row r="24" spans="1:23" ht="15.75" customHeight="1" x14ac:dyDescent="0.25">
      <c r="A24" s="10">
        <v>12</v>
      </c>
      <c r="B24" s="11" t="s">
        <v>52</v>
      </c>
      <c r="C24" s="11" t="s">
        <v>33</v>
      </c>
      <c r="D24" s="12">
        <v>32.159999999999997</v>
      </c>
      <c r="E24" s="12">
        <v>16.829999999999998</v>
      </c>
      <c r="F24" s="12">
        <v>48.99</v>
      </c>
      <c r="G24" s="12" t="s">
        <v>43</v>
      </c>
      <c r="H24" s="12">
        <v>62.99</v>
      </c>
      <c r="I24" s="12">
        <f t="shared" si="0"/>
        <v>2</v>
      </c>
      <c r="J24" s="13" t="str">
        <f t="shared" si="1"/>
        <v>C</v>
      </c>
      <c r="K24" s="14" t="str">
        <f t="shared" si="2"/>
        <v>Qoniqarli</v>
      </c>
    </row>
    <row r="25" spans="1:23" ht="15.75" customHeight="1" x14ac:dyDescent="0.25">
      <c r="A25" s="10">
        <v>13</v>
      </c>
      <c r="B25" s="11" t="s">
        <v>53</v>
      </c>
      <c r="C25" s="11" t="s">
        <v>33</v>
      </c>
      <c r="D25" s="12">
        <v>32.96</v>
      </c>
      <c r="E25" s="12">
        <v>18.809999999999999</v>
      </c>
      <c r="F25" s="12">
        <v>51.77</v>
      </c>
      <c r="G25" s="12" t="s">
        <v>43</v>
      </c>
      <c r="H25" s="12">
        <v>65.77</v>
      </c>
      <c r="I25" s="12">
        <f t="shared" si="0"/>
        <v>2.5</v>
      </c>
      <c r="J25" s="13" t="str">
        <f t="shared" si="1"/>
        <v>C+</v>
      </c>
      <c r="K25" s="14" t="str">
        <f t="shared" si="2"/>
        <v>Qoniqarli</v>
      </c>
    </row>
    <row r="26" spans="1:23" ht="15.75" customHeight="1" x14ac:dyDescent="0.25">
      <c r="A26" s="10">
        <v>14</v>
      </c>
      <c r="B26" s="11" t="s">
        <v>54</v>
      </c>
      <c r="C26" s="11" t="s">
        <v>33</v>
      </c>
      <c r="D26" s="12">
        <v>29.75</v>
      </c>
      <c r="E26" s="12">
        <v>14.85</v>
      </c>
      <c r="F26" s="12">
        <v>44.6</v>
      </c>
      <c r="G26" s="12" t="s">
        <v>55</v>
      </c>
      <c r="H26" s="12">
        <v>70.599999999999994</v>
      </c>
      <c r="I26" s="12">
        <f t="shared" si="0"/>
        <v>3</v>
      </c>
      <c r="J26" s="13" t="str">
        <f t="shared" si="1"/>
        <v>B</v>
      </c>
      <c r="K26" s="14" t="str">
        <f t="shared" si="2"/>
        <v>Yaxshi</v>
      </c>
    </row>
    <row r="27" spans="1:23" ht="15.75" customHeight="1" x14ac:dyDescent="0.25">
      <c r="A27" s="10">
        <v>15</v>
      </c>
      <c r="B27" s="11" t="s">
        <v>56</v>
      </c>
      <c r="C27" s="11" t="s">
        <v>33</v>
      </c>
      <c r="D27" s="12" t="s">
        <v>48</v>
      </c>
      <c r="E27" s="12">
        <v>0</v>
      </c>
      <c r="F27" s="12" t="s">
        <v>48</v>
      </c>
      <c r="G27" s="12" t="s">
        <v>38</v>
      </c>
      <c r="H27" s="12" t="s">
        <v>38</v>
      </c>
      <c r="I27" s="12">
        <f t="shared" si="0"/>
        <v>0</v>
      </c>
      <c r="J27" s="13" t="str">
        <f t="shared" si="1"/>
        <v>F</v>
      </c>
      <c r="K27" s="14" t="str">
        <f t="shared" si="2"/>
        <v>Qoniqarsiz</v>
      </c>
    </row>
    <row r="28" spans="1:23" ht="15.75" customHeight="1" x14ac:dyDescent="0.25">
      <c r="A28" s="10">
        <v>16</v>
      </c>
      <c r="B28" s="11" t="s">
        <v>57</v>
      </c>
      <c r="C28" s="11" t="s">
        <v>33</v>
      </c>
      <c r="D28" s="12">
        <v>38.99</v>
      </c>
      <c r="E28" s="12">
        <v>16.829999999999998</v>
      </c>
      <c r="F28" s="12">
        <v>55.82</v>
      </c>
      <c r="G28" s="12" t="s">
        <v>58</v>
      </c>
      <c r="H28" s="12">
        <v>83.82</v>
      </c>
      <c r="I28" s="12">
        <f t="shared" si="0"/>
        <v>3.5</v>
      </c>
      <c r="J28" s="13" t="str">
        <f t="shared" si="1"/>
        <v>B+</v>
      </c>
      <c r="K28" s="14" t="str">
        <f t="shared" si="2"/>
        <v>Yaxshi</v>
      </c>
    </row>
    <row r="29" spans="1:23" ht="15.75" customHeight="1" x14ac:dyDescent="0.25">
      <c r="A29" s="10">
        <v>17</v>
      </c>
      <c r="B29" s="11" t="s">
        <v>59</v>
      </c>
      <c r="C29" s="11" t="s">
        <v>33</v>
      </c>
      <c r="D29" s="12">
        <v>34.97</v>
      </c>
      <c r="E29" s="12">
        <v>17.82</v>
      </c>
      <c r="F29" s="12">
        <v>52.79</v>
      </c>
      <c r="G29" s="12" t="s">
        <v>60</v>
      </c>
      <c r="H29" s="12">
        <v>84.79</v>
      </c>
      <c r="I29" s="12">
        <f t="shared" si="0"/>
        <v>3.5</v>
      </c>
      <c r="J29" s="13" t="str">
        <f t="shared" si="1"/>
        <v>B+</v>
      </c>
      <c r="K29" s="14" t="str">
        <f t="shared" si="2"/>
        <v>Yaxshi</v>
      </c>
    </row>
    <row r="30" spans="1:23" ht="15.75" customHeight="1" x14ac:dyDescent="0.25">
      <c r="A30" s="10">
        <v>18</v>
      </c>
      <c r="B30" s="11" t="s">
        <v>61</v>
      </c>
      <c r="C30" s="11" t="s">
        <v>33</v>
      </c>
      <c r="D30" s="12">
        <v>40.200000000000003</v>
      </c>
      <c r="E30" s="12">
        <v>19.8</v>
      </c>
      <c r="F30" s="12" t="s">
        <v>62</v>
      </c>
      <c r="G30" s="12" t="s">
        <v>48</v>
      </c>
      <c r="H30" s="12" t="s">
        <v>62</v>
      </c>
      <c r="I30" s="12">
        <f t="shared" si="0"/>
        <v>2</v>
      </c>
      <c r="J30" s="13" t="str">
        <f t="shared" si="1"/>
        <v>C</v>
      </c>
      <c r="K30" s="14" t="str">
        <f t="shared" si="2"/>
        <v>Qoniqarli</v>
      </c>
    </row>
    <row r="31" spans="1:23" ht="15.75" customHeight="1" x14ac:dyDescent="0.25">
      <c r="A31" s="10">
        <v>19</v>
      </c>
      <c r="B31" s="11" t="s">
        <v>63</v>
      </c>
      <c r="C31" s="11" t="s">
        <v>33</v>
      </c>
      <c r="D31" s="12">
        <v>37.39</v>
      </c>
      <c r="E31" s="12">
        <v>17.82</v>
      </c>
      <c r="F31" s="12">
        <v>55.21</v>
      </c>
      <c r="G31" s="12" t="s">
        <v>64</v>
      </c>
      <c r="H31" s="12">
        <v>71.209999999999994</v>
      </c>
      <c r="I31" s="12">
        <f t="shared" si="0"/>
        <v>3</v>
      </c>
      <c r="J31" s="13" t="str">
        <f t="shared" si="1"/>
        <v>B</v>
      </c>
      <c r="K31" s="14" t="str">
        <f t="shared" si="2"/>
        <v>Yaxshi</v>
      </c>
    </row>
    <row r="32" spans="1:23" ht="15.75" customHeight="1" x14ac:dyDescent="0.25">
      <c r="A32" s="10">
        <v>20</v>
      </c>
      <c r="B32" s="11" t="s">
        <v>63</v>
      </c>
      <c r="C32" s="11" t="s">
        <v>33</v>
      </c>
      <c r="D32" s="12">
        <v>0</v>
      </c>
      <c r="E32" s="12">
        <v>0</v>
      </c>
      <c r="F32" s="12" t="s">
        <v>48</v>
      </c>
      <c r="G32" s="12">
        <v>0</v>
      </c>
      <c r="H32" s="12">
        <v>0</v>
      </c>
      <c r="I32" s="12">
        <f t="shared" si="0"/>
        <v>0</v>
      </c>
      <c r="J32" s="13" t="str">
        <f t="shared" si="1"/>
        <v>F</v>
      </c>
      <c r="K32" s="14" t="str">
        <f t="shared" si="2"/>
        <v>Qoniqarsiz</v>
      </c>
    </row>
    <row r="33" spans="1:11" ht="15.75" customHeight="1" x14ac:dyDescent="0.25">
      <c r="A33" s="10">
        <v>21</v>
      </c>
      <c r="B33" s="11" t="s">
        <v>65</v>
      </c>
      <c r="C33" s="11" t="s">
        <v>33</v>
      </c>
      <c r="D33" s="12">
        <v>40.200000000000003</v>
      </c>
      <c r="E33" s="12">
        <v>19.8</v>
      </c>
      <c r="F33" s="12" t="s">
        <v>62</v>
      </c>
      <c r="G33" s="12" t="s">
        <v>66</v>
      </c>
      <c r="H33" s="12" t="s">
        <v>67</v>
      </c>
      <c r="I33" s="12">
        <f t="shared" si="0"/>
        <v>4.5</v>
      </c>
      <c r="J33" s="13" t="str">
        <f t="shared" si="1"/>
        <v>A+</v>
      </c>
      <c r="K33" s="14" t="str">
        <f t="shared" si="2"/>
        <v>Yaxshi</v>
      </c>
    </row>
    <row r="34" spans="1:11" ht="15.75" customHeight="1" x14ac:dyDescent="0.25">
      <c r="A34" s="10">
        <v>22</v>
      </c>
      <c r="B34" s="11" t="s">
        <v>68</v>
      </c>
      <c r="C34" s="11" t="s">
        <v>33</v>
      </c>
      <c r="D34" s="12">
        <v>35.380000000000003</v>
      </c>
      <c r="E34" s="12">
        <v>19.8</v>
      </c>
      <c r="F34" s="12">
        <v>55.18</v>
      </c>
      <c r="G34" s="12" t="s">
        <v>36</v>
      </c>
      <c r="H34" s="12">
        <v>73.180000000000007</v>
      </c>
      <c r="I34" s="12">
        <f t="shared" si="0"/>
        <v>3</v>
      </c>
      <c r="J34" s="13" t="str">
        <f t="shared" si="1"/>
        <v>B</v>
      </c>
      <c r="K34" s="14" t="str">
        <f t="shared" si="2"/>
        <v>Yaxshi</v>
      </c>
    </row>
    <row r="35" spans="1:11" ht="15.75" customHeight="1" x14ac:dyDescent="0.25">
      <c r="A35" s="10">
        <v>23</v>
      </c>
      <c r="B35" s="11" t="s">
        <v>69</v>
      </c>
      <c r="C35" s="11" t="s">
        <v>33</v>
      </c>
      <c r="D35" s="12">
        <v>38.590000000000003</v>
      </c>
      <c r="E35" s="12">
        <v>18.809999999999999</v>
      </c>
      <c r="F35" s="12">
        <v>57.4</v>
      </c>
      <c r="G35" s="12" t="s">
        <v>55</v>
      </c>
      <c r="H35" s="12">
        <v>83.4</v>
      </c>
      <c r="I35" s="12">
        <f t="shared" si="0"/>
        <v>3.5</v>
      </c>
      <c r="J35" s="13" t="str">
        <f t="shared" si="1"/>
        <v>B+</v>
      </c>
      <c r="K35" s="14" t="str">
        <f t="shared" si="2"/>
        <v>Yaxshi</v>
      </c>
    </row>
    <row r="36" spans="1:11" ht="15.75" customHeight="1" x14ac:dyDescent="0.25">
      <c r="A36" s="10">
        <v>24</v>
      </c>
      <c r="B36" s="11" t="s">
        <v>70</v>
      </c>
      <c r="C36" s="11" t="s">
        <v>33</v>
      </c>
      <c r="D36" s="12">
        <v>37.79</v>
      </c>
      <c r="E36" s="12">
        <v>19.8</v>
      </c>
      <c r="F36" s="12">
        <v>57.59</v>
      </c>
      <c r="G36" s="12" t="s">
        <v>36</v>
      </c>
      <c r="H36" s="12">
        <v>75.59</v>
      </c>
      <c r="I36" s="12">
        <f t="shared" si="0"/>
        <v>3</v>
      </c>
      <c r="J36" s="13" t="str">
        <f t="shared" si="1"/>
        <v>B</v>
      </c>
      <c r="K36" s="14" t="str">
        <f t="shared" si="2"/>
        <v>Yaxshi</v>
      </c>
    </row>
    <row r="37" spans="1:11" ht="15.75" customHeight="1" x14ac:dyDescent="0.25">
      <c r="A37" s="10">
        <v>25</v>
      </c>
      <c r="B37" s="11" t="s">
        <v>71</v>
      </c>
      <c r="C37" s="11" t="s">
        <v>33</v>
      </c>
      <c r="D37" s="12">
        <v>26.53</v>
      </c>
      <c r="E37" s="12">
        <v>15.84</v>
      </c>
      <c r="F37" s="12">
        <v>42.37</v>
      </c>
      <c r="G37" s="12" t="s">
        <v>72</v>
      </c>
      <c r="H37" s="12">
        <v>64.37</v>
      </c>
      <c r="I37" s="12">
        <f t="shared" si="0"/>
        <v>2</v>
      </c>
      <c r="J37" s="13" t="str">
        <f t="shared" si="1"/>
        <v>C</v>
      </c>
      <c r="K37" s="14" t="str">
        <f t="shared" si="2"/>
        <v>Qoniqarli</v>
      </c>
    </row>
    <row r="38" spans="1:11" ht="15.75" customHeight="1" x14ac:dyDescent="0.25">
      <c r="A38" s="10">
        <v>26</v>
      </c>
      <c r="B38" s="11" t="s">
        <v>73</v>
      </c>
      <c r="C38" s="11" t="s">
        <v>33</v>
      </c>
      <c r="D38" s="12">
        <v>31.36</v>
      </c>
      <c r="E38" s="12">
        <v>18.809999999999999</v>
      </c>
      <c r="F38" s="12">
        <v>50.17</v>
      </c>
      <c r="G38" s="12" t="s">
        <v>72</v>
      </c>
      <c r="H38" s="12">
        <v>72.17</v>
      </c>
      <c r="I38" s="12">
        <f t="shared" si="0"/>
        <v>3</v>
      </c>
      <c r="J38" s="13" t="str">
        <f t="shared" si="1"/>
        <v>B</v>
      </c>
      <c r="K38" s="14" t="str">
        <f t="shared" si="2"/>
        <v>Yaxshi</v>
      </c>
    </row>
    <row r="39" spans="1:11" ht="15.75" customHeight="1" x14ac:dyDescent="0.25">
      <c r="A39" s="10">
        <v>27</v>
      </c>
      <c r="B39" s="11" t="s">
        <v>74</v>
      </c>
      <c r="C39" s="11" t="s">
        <v>33</v>
      </c>
      <c r="D39" s="12">
        <v>40.200000000000003</v>
      </c>
      <c r="E39" s="12">
        <v>19.8</v>
      </c>
      <c r="F39" s="12" t="s">
        <v>62</v>
      </c>
      <c r="G39" s="12" t="s">
        <v>41</v>
      </c>
      <c r="H39" s="12" t="s">
        <v>75</v>
      </c>
      <c r="I39" s="12">
        <f t="shared" si="0"/>
        <v>3</v>
      </c>
      <c r="J39" s="13" t="str">
        <f t="shared" si="1"/>
        <v>B</v>
      </c>
      <c r="K39" s="14" t="str">
        <f t="shared" si="2"/>
        <v>Yaxshi</v>
      </c>
    </row>
    <row r="40" spans="1:11" ht="15.75" customHeight="1" x14ac:dyDescent="0.25">
      <c r="A40" s="10">
        <v>28</v>
      </c>
      <c r="B40" s="11" t="s">
        <v>76</v>
      </c>
      <c r="C40" s="11" t="s">
        <v>33</v>
      </c>
      <c r="D40" s="12">
        <v>33.369999999999997</v>
      </c>
      <c r="E40" s="12">
        <v>16.829999999999998</v>
      </c>
      <c r="F40" s="12">
        <v>50.2</v>
      </c>
      <c r="G40" s="12" t="s">
        <v>64</v>
      </c>
      <c r="H40" s="12">
        <v>66.2</v>
      </c>
      <c r="I40" s="12">
        <f t="shared" si="0"/>
        <v>2.5</v>
      </c>
      <c r="J40" s="13" t="str">
        <f t="shared" si="1"/>
        <v>C+</v>
      </c>
      <c r="K40" s="14" t="str">
        <f t="shared" si="2"/>
        <v>Qoniqarli</v>
      </c>
    </row>
    <row r="41" spans="1:11" ht="15.75" customHeight="1" x14ac:dyDescent="0.25">
      <c r="A41" s="10">
        <v>29</v>
      </c>
      <c r="B41" s="11" t="s">
        <v>77</v>
      </c>
      <c r="C41" s="11" t="s">
        <v>33</v>
      </c>
      <c r="D41" s="12">
        <v>40.200000000000003</v>
      </c>
      <c r="E41" s="12">
        <v>19.8</v>
      </c>
      <c r="F41" s="12" t="s">
        <v>62</v>
      </c>
      <c r="G41" s="12" t="s">
        <v>58</v>
      </c>
      <c r="H41" s="12" t="s">
        <v>78</v>
      </c>
      <c r="I41" s="12">
        <f t="shared" si="0"/>
        <v>3.5</v>
      </c>
      <c r="J41" s="13" t="str">
        <f t="shared" si="1"/>
        <v>B+</v>
      </c>
      <c r="K41" s="14" t="str">
        <f t="shared" si="2"/>
        <v>Yaxshi</v>
      </c>
    </row>
    <row r="42" spans="1:11" ht="15.75" customHeight="1" x14ac:dyDescent="0.25">
      <c r="A42" s="10">
        <v>30</v>
      </c>
      <c r="B42" s="11" t="s">
        <v>79</v>
      </c>
      <c r="C42" s="11" t="s">
        <v>33</v>
      </c>
      <c r="D42" s="12">
        <v>39.799999999999997</v>
      </c>
      <c r="E42" s="12">
        <v>19.8</v>
      </c>
      <c r="F42" s="12">
        <v>59.6</v>
      </c>
      <c r="G42" s="12" t="s">
        <v>45</v>
      </c>
      <c r="H42" s="12">
        <v>79.599999999999994</v>
      </c>
      <c r="I42" s="12">
        <f t="shared" si="0"/>
        <v>3</v>
      </c>
      <c r="J42" s="13" t="str">
        <f t="shared" si="1"/>
        <v>B</v>
      </c>
      <c r="K42" s="14" t="str">
        <f t="shared" si="2"/>
        <v>Yaxshi</v>
      </c>
    </row>
    <row r="43" spans="1:11" ht="15" customHeight="1" x14ac:dyDescent="0.25">
      <c r="A43" s="10">
        <v>31</v>
      </c>
      <c r="B43" s="11" t="s">
        <v>80</v>
      </c>
      <c r="C43" s="11" t="s">
        <v>33</v>
      </c>
      <c r="D43" s="12" t="s">
        <v>48</v>
      </c>
      <c r="E43" s="12" t="s">
        <v>48</v>
      </c>
      <c r="F43" s="12" t="s">
        <v>48</v>
      </c>
      <c r="G43" s="12" t="s">
        <v>48</v>
      </c>
      <c r="H43" s="12" t="s">
        <v>48</v>
      </c>
      <c r="I43" s="12">
        <f t="shared" si="0"/>
        <v>0</v>
      </c>
      <c r="J43" s="13" t="str">
        <f t="shared" si="1"/>
        <v>F</v>
      </c>
      <c r="K43" s="14" t="str">
        <f t="shared" si="2"/>
        <v>Qoniqarsiz</v>
      </c>
    </row>
    <row r="44" spans="1:11" ht="15" customHeight="1" x14ac:dyDescent="0.25">
      <c r="A44" s="10">
        <v>32</v>
      </c>
      <c r="B44" s="11" t="s">
        <v>81</v>
      </c>
      <c r="C44" s="11" t="s">
        <v>33</v>
      </c>
      <c r="D44" s="12">
        <v>31.76</v>
      </c>
      <c r="E44" s="12">
        <v>16.829999999999998</v>
      </c>
      <c r="F44" s="12">
        <v>48.59</v>
      </c>
      <c r="G44" s="12" t="s">
        <v>43</v>
      </c>
      <c r="H44" s="12">
        <v>62.59</v>
      </c>
      <c r="I44" s="12">
        <f t="shared" si="0"/>
        <v>2</v>
      </c>
      <c r="J44" s="13" t="str">
        <f t="shared" si="1"/>
        <v>C</v>
      </c>
      <c r="K44" s="14" t="str">
        <f t="shared" si="2"/>
        <v>Qoniqarli</v>
      </c>
    </row>
    <row r="45" spans="1:11" ht="15" customHeight="1" x14ac:dyDescent="0.25">
      <c r="A45" s="10">
        <v>33</v>
      </c>
      <c r="B45" s="11" t="s">
        <v>82</v>
      </c>
      <c r="C45" s="11" t="s">
        <v>33</v>
      </c>
      <c r="D45" s="12">
        <v>36.979999999999997</v>
      </c>
      <c r="E45" s="12">
        <v>19.8</v>
      </c>
      <c r="F45" s="12">
        <v>56.78</v>
      </c>
      <c r="G45" s="12" t="s">
        <v>36</v>
      </c>
      <c r="H45" s="12">
        <v>74.78</v>
      </c>
      <c r="I45" s="12">
        <f t="shared" si="0"/>
        <v>3</v>
      </c>
      <c r="J45" s="13" t="str">
        <f t="shared" si="1"/>
        <v>B</v>
      </c>
      <c r="K45" s="14" t="str">
        <f t="shared" si="2"/>
        <v>Yaxshi</v>
      </c>
    </row>
    <row r="46" spans="1:11" ht="15" customHeight="1" x14ac:dyDescent="0.25">
      <c r="A46" s="10">
        <v>34</v>
      </c>
      <c r="B46" s="11" t="s">
        <v>83</v>
      </c>
      <c r="C46" s="11" t="s">
        <v>33</v>
      </c>
      <c r="D46" s="12">
        <v>38.590000000000003</v>
      </c>
      <c r="E46" s="12">
        <v>16.829999999999998</v>
      </c>
      <c r="F46" s="12">
        <v>55.42</v>
      </c>
      <c r="G46" s="12" t="s">
        <v>84</v>
      </c>
      <c r="H46" s="12">
        <v>65.42</v>
      </c>
      <c r="I46" s="12">
        <f t="shared" si="0"/>
        <v>2.5</v>
      </c>
      <c r="J46" s="13" t="str">
        <f t="shared" si="1"/>
        <v>C+</v>
      </c>
      <c r="K46" s="14" t="str">
        <f t="shared" si="2"/>
        <v>Qoniqarli</v>
      </c>
    </row>
    <row r="47" spans="1:11" ht="15.75" customHeight="1" x14ac:dyDescent="0.25">
      <c r="A47" s="10">
        <v>35</v>
      </c>
      <c r="B47" s="11" t="s">
        <v>85</v>
      </c>
      <c r="C47" s="11" t="s">
        <v>33</v>
      </c>
      <c r="D47" s="12">
        <v>36.18</v>
      </c>
      <c r="E47" s="12">
        <v>19.8</v>
      </c>
      <c r="F47" s="12">
        <v>55.98</v>
      </c>
      <c r="G47" s="12" t="s">
        <v>55</v>
      </c>
      <c r="H47" s="12">
        <v>81.98</v>
      </c>
      <c r="I47" s="12">
        <f t="shared" si="0"/>
        <v>3.5</v>
      </c>
      <c r="J47" s="13" t="str">
        <f t="shared" si="1"/>
        <v>B+</v>
      </c>
      <c r="K47" s="14" t="str">
        <f t="shared" si="2"/>
        <v>Yaxshi</v>
      </c>
    </row>
    <row r="48" spans="1:11" ht="15.75" customHeight="1" x14ac:dyDescent="0.25">
      <c r="A48" s="10">
        <v>36</v>
      </c>
      <c r="B48" s="11" t="s">
        <v>86</v>
      </c>
      <c r="C48" s="11" t="s">
        <v>33</v>
      </c>
      <c r="D48" s="12">
        <v>36.979999999999997</v>
      </c>
      <c r="E48" s="12">
        <v>16.829999999999998</v>
      </c>
      <c r="F48" s="12">
        <v>53.81</v>
      </c>
      <c r="G48" s="12" t="s">
        <v>41</v>
      </c>
      <c r="H48" s="12">
        <v>65.81</v>
      </c>
      <c r="I48" s="12">
        <f t="shared" si="0"/>
        <v>2.5</v>
      </c>
      <c r="J48" s="13" t="str">
        <f t="shared" si="1"/>
        <v>C+</v>
      </c>
      <c r="K48" s="14" t="str">
        <f t="shared" si="2"/>
        <v>Qoniqarli</v>
      </c>
    </row>
    <row r="49" spans="1:11" ht="15.75" customHeight="1" x14ac:dyDescent="0.25">
      <c r="A49" s="10">
        <v>37</v>
      </c>
      <c r="B49" s="11" t="s">
        <v>87</v>
      </c>
      <c r="C49" s="11" t="s">
        <v>33</v>
      </c>
      <c r="D49" s="12">
        <v>23.72</v>
      </c>
      <c r="E49" s="12">
        <v>12.87</v>
      </c>
      <c r="F49" s="12">
        <v>36.590000000000003</v>
      </c>
      <c r="G49" s="12" t="s">
        <v>48</v>
      </c>
      <c r="H49" s="12">
        <v>36.590000000000003</v>
      </c>
      <c r="I49" s="12">
        <f t="shared" si="0"/>
        <v>0</v>
      </c>
      <c r="J49" s="13" t="str">
        <f t="shared" si="1"/>
        <v>F</v>
      </c>
      <c r="K49" s="14" t="str">
        <f t="shared" si="2"/>
        <v>Qoniqarsiz</v>
      </c>
    </row>
    <row r="50" spans="1:11" ht="15.75" customHeight="1" x14ac:dyDescent="0.25">
      <c r="A50" s="10">
        <v>38</v>
      </c>
      <c r="B50" s="11" t="s">
        <v>88</v>
      </c>
      <c r="C50" s="11" t="s">
        <v>33</v>
      </c>
      <c r="D50" s="12" t="s">
        <v>48</v>
      </c>
      <c r="E50" s="12">
        <v>0</v>
      </c>
      <c r="F50" s="12" t="s">
        <v>48</v>
      </c>
      <c r="G50" s="12" t="s">
        <v>48</v>
      </c>
      <c r="H50" s="12" t="s">
        <v>48</v>
      </c>
      <c r="I50" s="12">
        <f t="shared" si="0"/>
        <v>0</v>
      </c>
      <c r="J50" s="13" t="str">
        <f t="shared" si="1"/>
        <v>F</v>
      </c>
      <c r="K50" s="14" t="str">
        <f t="shared" si="2"/>
        <v>Qoniqarsiz</v>
      </c>
    </row>
    <row r="51" spans="1:11" ht="15.75" customHeight="1" x14ac:dyDescent="0.25">
      <c r="A51" s="10">
        <v>39</v>
      </c>
      <c r="B51" s="11" t="s">
        <v>89</v>
      </c>
      <c r="C51" s="11" t="s">
        <v>33</v>
      </c>
      <c r="D51" s="12">
        <v>16.079999999999998</v>
      </c>
      <c r="E51" s="12">
        <v>17.82</v>
      </c>
      <c r="F51" s="12">
        <v>33.9</v>
      </c>
      <c r="G51" s="12" t="s">
        <v>43</v>
      </c>
      <c r="H51" s="12">
        <v>47.9</v>
      </c>
      <c r="I51" s="12">
        <f t="shared" si="0"/>
        <v>0</v>
      </c>
      <c r="J51" s="13" t="str">
        <f t="shared" si="1"/>
        <v>F</v>
      </c>
      <c r="K51" s="14" t="str">
        <f t="shared" si="2"/>
        <v>Qoniqarsiz</v>
      </c>
    </row>
    <row r="52" spans="1:11" ht="15.75" customHeight="1" x14ac:dyDescent="0.25">
      <c r="A52" s="10">
        <v>40</v>
      </c>
      <c r="B52" s="11" t="s">
        <v>90</v>
      </c>
      <c r="C52" s="11" t="s">
        <v>33</v>
      </c>
      <c r="D52" s="12">
        <v>36.18</v>
      </c>
      <c r="E52" s="12">
        <v>17.82</v>
      </c>
      <c r="F52" s="12" t="s">
        <v>91</v>
      </c>
      <c r="G52" s="12" t="s">
        <v>55</v>
      </c>
      <c r="H52" s="12" t="s">
        <v>92</v>
      </c>
      <c r="I52" s="12">
        <f t="shared" si="0"/>
        <v>3.5</v>
      </c>
      <c r="J52" s="13" t="str">
        <f t="shared" si="1"/>
        <v>B+</v>
      </c>
      <c r="K52" s="14" t="str">
        <f t="shared" si="2"/>
        <v>Yaxshi</v>
      </c>
    </row>
    <row r="53" spans="1:11" ht="15.75" customHeight="1" x14ac:dyDescent="0.25">
      <c r="A53" s="10">
        <v>41</v>
      </c>
      <c r="B53" s="11" t="s">
        <v>93</v>
      </c>
      <c r="C53" s="11" t="s">
        <v>33</v>
      </c>
      <c r="D53" s="12">
        <v>25.33</v>
      </c>
      <c r="E53" s="12">
        <v>9.9</v>
      </c>
      <c r="F53" s="12">
        <v>35.229999999999997</v>
      </c>
      <c r="G53" s="12" t="s">
        <v>48</v>
      </c>
      <c r="H53" s="12">
        <v>35.229999999999997</v>
      </c>
      <c r="I53" s="12">
        <f t="shared" si="0"/>
        <v>0</v>
      </c>
      <c r="J53" s="13" t="str">
        <f t="shared" si="1"/>
        <v>F</v>
      </c>
      <c r="K53" s="14" t="str">
        <f t="shared" si="2"/>
        <v>Qoniqarsiz</v>
      </c>
    </row>
    <row r="54" spans="1:11" ht="15.75" customHeight="1" x14ac:dyDescent="0.25">
      <c r="A54" s="10">
        <v>42</v>
      </c>
      <c r="B54" s="11" t="s">
        <v>94</v>
      </c>
      <c r="C54" s="11" t="s">
        <v>33</v>
      </c>
      <c r="D54" s="12">
        <v>37.79</v>
      </c>
      <c r="E54" s="12">
        <v>17.82</v>
      </c>
      <c r="F54" s="12">
        <v>55.61</v>
      </c>
      <c r="G54" s="12" t="s">
        <v>38</v>
      </c>
      <c r="H54" s="12">
        <v>79.61</v>
      </c>
      <c r="I54" s="12">
        <f t="shared" si="0"/>
        <v>3</v>
      </c>
      <c r="J54" s="13" t="str">
        <f t="shared" si="1"/>
        <v>B</v>
      </c>
      <c r="K54" s="14" t="str">
        <f t="shared" si="2"/>
        <v>Yaxshi</v>
      </c>
    </row>
    <row r="55" spans="1:11" ht="15.75" customHeight="1" x14ac:dyDescent="0.25">
      <c r="A55" s="10">
        <v>43</v>
      </c>
      <c r="B55" s="11" t="s">
        <v>95</v>
      </c>
      <c r="C55" s="11" t="s">
        <v>33</v>
      </c>
      <c r="D55" s="12">
        <v>20.5</v>
      </c>
      <c r="E55" s="12">
        <v>19.8</v>
      </c>
      <c r="F55" s="12">
        <v>40.299999999999997</v>
      </c>
      <c r="G55" s="12" t="s">
        <v>48</v>
      </c>
      <c r="H55" s="12">
        <v>40.299999999999997</v>
      </c>
      <c r="I55" s="12">
        <f t="shared" si="0"/>
        <v>0</v>
      </c>
      <c r="J55" s="13" t="str">
        <f t="shared" si="1"/>
        <v>F</v>
      </c>
      <c r="K55" s="14" t="str">
        <f t="shared" si="2"/>
        <v>Qoniqarsiz</v>
      </c>
    </row>
    <row r="56" spans="1:11" ht="15.75" customHeight="1" x14ac:dyDescent="0.25">
      <c r="A56" s="10">
        <v>44</v>
      </c>
      <c r="B56" s="11" t="s">
        <v>96</v>
      </c>
      <c r="C56" s="11" t="s">
        <v>33</v>
      </c>
      <c r="D56" s="12">
        <v>30.55</v>
      </c>
      <c r="E56" s="12">
        <v>18.809999999999999</v>
      </c>
      <c r="F56" s="12">
        <v>49.36</v>
      </c>
      <c r="G56" s="12" t="s">
        <v>36</v>
      </c>
      <c r="H56" s="12">
        <v>67.36</v>
      </c>
      <c r="I56" s="12">
        <f t="shared" si="0"/>
        <v>2.5</v>
      </c>
      <c r="J56" s="13" t="str">
        <f t="shared" si="1"/>
        <v>C+</v>
      </c>
      <c r="K56" s="14" t="str">
        <f t="shared" si="2"/>
        <v>Qoniqarli</v>
      </c>
    </row>
    <row r="57" spans="1:11" ht="15.75" customHeight="1" x14ac:dyDescent="0.25">
      <c r="A57" s="10">
        <v>45</v>
      </c>
      <c r="B57" s="11" t="s">
        <v>97</v>
      </c>
      <c r="C57" s="11" t="s">
        <v>33</v>
      </c>
      <c r="D57" s="12">
        <v>28.14</v>
      </c>
      <c r="E57" s="12">
        <v>15.84</v>
      </c>
      <c r="F57" s="12">
        <v>43.98</v>
      </c>
      <c r="G57" s="12" t="s">
        <v>48</v>
      </c>
      <c r="H57" s="12">
        <v>43.98</v>
      </c>
      <c r="I57" s="12">
        <f t="shared" si="0"/>
        <v>0</v>
      </c>
      <c r="J57" s="13" t="str">
        <f t="shared" si="1"/>
        <v>F</v>
      </c>
      <c r="K57" s="14" t="str">
        <f t="shared" si="2"/>
        <v>Qoniqarsiz</v>
      </c>
    </row>
    <row r="58" spans="1:11" ht="15.75" customHeight="1" x14ac:dyDescent="0.25">
      <c r="A58" s="10">
        <v>46</v>
      </c>
      <c r="B58" s="11" t="s">
        <v>98</v>
      </c>
      <c r="C58" s="11" t="s">
        <v>33</v>
      </c>
      <c r="D58" s="12">
        <v>23.32</v>
      </c>
      <c r="E58" s="12">
        <v>8.91</v>
      </c>
      <c r="F58" s="12">
        <v>32.229999999999997</v>
      </c>
      <c r="G58" s="12" t="s">
        <v>55</v>
      </c>
      <c r="H58" s="12">
        <v>58.23</v>
      </c>
      <c r="I58" s="12">
        <f t="shared" si="0"/>
        <v>0</v>
      </c>
      <c r="J58" s="13" t="str">
        <f t="shared" si="1"/>
        <v>F</v>
      </c>
      <c r="K58" s="14" t="str">
        <f t="shared" si="2"/>
        <v>Qoniqarsiz</v>
      </c>
    </row>
    <row r="59" spans="1:11" ht="15.75" customHeight="1" x14ac:dyDescent="0.25">
      <c r="A59" s="10">
        <v>47</v>
      </c>
      <c r="B59" s="11" t="s">
        <v>99</v>
      </c>
      <c r="C59" s="11" t="s">
        <v>33</v>
      </c>
      <c r="D59" s="12">
        <v>33.369999999999997</v>
      </c>
      <c r="E59" s="12">
        <v>17.82</v>
      </c>
      <c r="F59" s="12">
        <v>51.19</v>
      </c>
      <c r="G59" s="12" t="s">
        <v>64</v>
      </c>
      <c r="H59" s="12">
        <v>67.19</v>
      </c>
      <c r="I59" s="12">
        <f t="shared" si="0"/>
        <v>2.5</v>
      </c>
      <c r="J59" s="13" t="str">
        <f t="shared" si="1"/>
        <v>C+</v>
      </c>
      <c r="K59" s="14" t="str">
        <f t="shared" si="2"/>
        <v>Qoniqarli</v>
      </c>
    </row>
    <row r="60" spans="1:11" ht="15.75" customHeight="1" x14ac:dyDescent="0.25">
      <c r="A60" s="10">
        <v>48</v>
      </c>
      <c r="B60" s="11" t="s">
        <v>100</v>
      </c>
      <c r="C60" s="11" t="s">
        <v>33</v>
      </c>
      <c r="D60" s="12">
        <v>37.79</v>
      </c>
      <c r="E60" s="12">
        <v>15.84</v>
      </c>
      <c r="F60" s="12">
        <v>53.63</v>
      </c>
      <c r="G60" s="12" t="s">
        <v>48</v>
      </c>
      <c r="H60" s="12">
        <v>53.63</v>
      </c>
      <c r="I60" s="12">
        <f t="shared" si="0"/>
        <v>0</v>
      </c>
      <c r="J60" s="13" t="str">
        <f t="shared" si="1"/>
        <v>F</v>
      </c>
      <c r="K60" s="14" t="str">
        <f t="shared" si="2"/>
        <v>Qoniqarsiz</v>
      </c>
    </row>
    <row r="61" spans="1:11" ht="15.75" customHeight="1" x14ac:dyDescent="0.25">
      <c r="A61" s="10">
        <v>49</v>
      </c>
      <c r="B61" s="11" t="s">
        <v>101</v>
      </c>
      <c r="C61" s="11" t="s">
        <v>33</v>
      </c>
      <c r="D61" s="12">
        <v>30.95</v>
      </c>
      <c r="E61" s="12">
        <v>14.85</v>
      </c>
      <c r="F61" s="12">
        <v>45.8</v>
      </c>
      <c r="G61" s="12" t="s">
        <v>43</v>
      </c>
      <c r="H61" s="12">
        <v>59.8</v>
      </c>
      <c r="I61" s="12">
        <f t="shared" si="0"/>
        <v>0</v>
      </c>
      <c r="J61" s="13" t="str">
        <f t="shared" si="1"/>
        <v>F</v>
      </c>
      <c r="K61" s="14" t="str">
        <f t="shared" si="2"/>
        <v>Qoniqarsiz</v>
      </c>
    </row>
    <row r="62" spans="1:11" ht="15.75" customHeight="1" x14ac:dyDescent="0.25">
      <c r="A62" s="10">
        <v>50</v>
      </c>
      <c r="B62" s="11" t="s">
        <v>102</v>
      </c>
      <c r="C62" s="11" t="s">
        <v>33</v>
      </c>
      <c r="D62" s="12">
        <v>37.79</v>
      </c>
      <c r="E62" s="12">
        <v>17.82</v>
      </c>
      <c r="F62" s="12">
        <v>55.61</v>
      </c>
      <c r="G62" s="12" t="s">
        <v>60</v>
      </c>
      <c r="H62" s="12">
        <v>87.61</v>
      </c>
      <c r="I62" s="12">
        <f t="shared" si="0"/>
        <v>3.5</v>
      </c>
      <c r="J62" s="13" t="str">
        <f t="shared" si="1"/>
        <v>B+</v>
      </c>
      <c r="K62" s="14" t="str">
        <f t="shared" si="2"/>
        <v>Yaxshi</v>
      </c>
    </row>
    <row r="63" spans="1:11" ht="15.75" customHeight="1" x14ac:dyDescent="0.25">
      <c r="A63" s="10">
        <v>51</v>
      </c>
      <c r="B63" s="11" t="s">
        <v>103</v>
      </c>
      <c r="C63" s="11" t="s">
        <v>33</v>
      </c>
      <c r="D63" s="12">
        <v>33.369999999999997</v>
      </c>
      <c r="E63" s="12">
        <v>18.809999999999999</v>
      </c>
      <c r="F63" s="12">
        <v>52.18</v>
      </c>
      <c r="G63" s="12" t="s">
        <v>104</v>
      </c>
      <c r="H63" s="12">
        <v>82.18</v>
      </c>
      <c r="I63" s="12">
        <f t="shared" si="0"/>
        <v>3.5</v>
      </c>
      <c r="J63" s="13" t="str">
        <f t="shared" si="1"/>
        <v>B+</v>
      </c>
      <c r="K63" s="14" t="str">
        <f t="shared" si="2"/>
        <v>Yaxshi</v>
      </c>
    </row>
    <row r="64" spans="1:11" ht="15.75" customHeight="1" x14ac:dyDescent="0.25">
      <c r="A64" s="10">
        <v>52</v>
      </c>
      <c r="B64" s="11" t="s">
        <v>105</v>
      </c>
      <c r="C64" s="11" t="s">
        <v>33</v>
      </c>
      <c r="D64" s="12">
        <v>32.56</v>
      </c>
      <c r="E64" s="12">
        <v>19.8</v>
      </c>
      <c r="F64" s="12">
        <v>52.36</v>
      </c>
      <c r="G64" s="12" t="s">
        <v>45</v>
      </c>
      <c r="H64" s="12">
        <v>72.36</v>
      </c>
      <c r="I64" s="12">
        <f t="shared" si="0"/>
        <v>3</v>
      </c>
      <c r="J64" s="13" t="str">
        <f t="shared" si="1"/>
        <v>B</v>
      </c>
      <c r="K64" s="14" t="str">
        <f t="shared" si="2"/>
        <v>Yaxshi</v>
      </c>
    </row>
    <row r="65" spans="1:11" ht="15.75" customHeight="1" x14ac:dyDescent="0.25">
      <c r="A65" s="10">
        <v>53</v>
      </c>
      <c r="B65" s="11" t="s">
        <v>106</v>
      </c>
      <c r="C65" s="11" t="s">
        <v>33</v>
      </c>
      <c r="D65" s="12">
        <v>36.58</v>
      </c>
      <c r="E65" s="12">
        <v>17.82</v>
      </c>
      <c r="F65" s="12">
        <v>54.4</v>
      </c>
      <c r="G65" s="12" t="s">
        <v>38</v>
      </c>
      <c r="H65" s="12">
        <v>78.400000000000006</v>
      </c>
      <c r="I65" s="12">
        <f t="shared" si="0"/>
        <v>3</v>
      </c>
      <c r="J65" s="13" t="str">
        <f t="shared" si="1"/>
        <v>B</v>
      </c>
      <c r="K65" s="14" t="str">
        <f t="shared" si="2"/>
        <v>Yaxshi</v>
      </c>
    </row>
    <row r="66" spans="1:11" ht="15.75" customHeight="1" x14ac:dyDescent="0.25">
      <c r="A66" s="10">
        <v>54</v>
      </c>
      <c r="B66" s="11" t="s">
        <v>107</v>
      </c>
      <c r="C66" s="11" t="s">
        <v>33</v>
      </c>
      <c r="D66" s="12" t="s">
        <v>48</v>
      </c>
      <c r="E66" s="12" t="s">
        <v>48</v>
      </c>
      <c r="F66" s="12" t="s">
        <v>48</v>
      </c>
      <c r="G66" s="12" t="s">
        <v>48</v>
      </c>
      <c r="H66" s="12" t="s">
        <v>48</v>
      </c>
      <c r="I66" s="12">
        <f t="shared" si="0"/>
        <v>0</v>
      </c>
      <c r="J66" s="13" t="str">
        <f t="shared" si="1"/>
        <v>F</v>
      </c>
      <c r="K66" s="14" t="str">
        <f t="shared" si="2"/>
        <v>Qoniqarsiz</v>
      </c>
    </row>
    <row r="67" spans="1:11" ht="15.75" customHeight="1" x14ac:dyDescent="0.25">
      <c r="A67" s="10">
        <v>55</v>
      </c>
      <c r="B67" s="11" t="s">
        <v>108</v>
      </c>
      <c r="C67" s="11" t="s">
        <v>33</v>
      </c>
      <c r="D67" s="12">
        <v>30.55</v>
      </c>
      <c r="E67" s="12">
        <v>18.809999999999999</v>
      </c>
      <c r="F67" s="12">
        <v>49.36</v>
      </c>
      <c r="G67" s="12" t="s">
        <v>104</v>
      </c>
      <c r="H67" s="12">
        <v>79.36</v>
      </c>
      <c r="I67" s="12">
        <f t="shared" si="0"/>
        <v>3</v>
      </c>
      <c r="J67" s="13" t="str">
        <f t="shared" si="1"/>
        <v>B</v>
      </c>
      <c r="K67" s="14" t="str">
        <f t="shared" si="2"/>
        <v>Yaxshi</v>
      </c>
    </row>
    <row r="68" spans="1:11" ht="15.75" customHeight="1" x14ac:dyDescent="0.25">
      <c r="A68" s="10">
        <v>56</v>
      </c>
      <c r="B68" s="11" t="s">
        <v>109</v>
      </c>
      <c r="C68" s="11" t="s">
        <v>33</v>
      </c>
      <c r="D68" s="12">
        <v>38.590000000000003</v>
      </c>
      <c r="E68" s="12">
        <v>18.809999999999999</v>
      </c>
      <c r="F68" s="12">
        <v>57.4</v>
      </c>
      <c r="G68" s="12" t="s">
        <v>110</v>
      </c>
      <c r="H68" s="12">
        <v>97.4</v>
      </c>
      <c r="I68" s="12">
        <f t="shared" si="0"/>
        <v>4.5</v>
      </c>
      <c r="J68" s="13" t="str">
        <f t="shared" si="1"/>
        <v>A+</v>
      </c>
      <c r="K68" s="14" t="str">
        <f t="shared" si="2"/>
        <v>Yaxshi</v>
      </c>
    </row>
    <row r="69" spans="1:11" ht="15.75" customHeight="1" x14ac:dyDescent="0.25">
      <c r="A69" s="10">
        <v>57</v>
      </c>
      <c r="B69" s="11" t="s">
        <v>111</v>
      </c>
      <c r="C69" s="11" t="s">
        <v>112</v>
      </c>
      <c r="D69" s="12">
        <v>34.17</v>
      </c>
      <c r="E69" s="12">
        <v>18.809999999999999</v>
      </c>
      <c r="F69" s="12">
        <v>52.98</v>
      </c>
      <c r="G69" s="12" t="s">
        <v>84</v>
      </c>
      <c r="H69" s="12">
        <v>62.98</v>
      </c>
      <c r="I69" s="12">
        <f t="shared" si="0"/>
        <v>2</v>
      </c>
      <c r="J69" s="13" t="str">
        <f t="shared" si="1"/>
        <v>C</v>
      </c>
      <c r="K69" s="14" t="str">
        <f t="shared" si="2"/>
        <v>Qoniqarli</v>
      </c>
    </row>
    <row r="70" spans="1:11" ht="15.75" customHeight="1" x14ac:dyDescent="0.25">
      <c r="A70" s="10">
        <v>58</v>
      </c>
      <c r="B70" s="11" t="s">
        <v>113</v>
      </c>
      <c r="C70" s="11" t="s">
        <v>112</v>
      </c>
      <c r="D70" s="12">
        <v>28.54</v>
      </c>
      <c r="E70" s="12">
        <v>19.8</v>
      </c>
      <c r="F70" s="12">
        <v>48.34</v>
      </c>
      <c r="G70" s="12" t="s">
        <v>64</v>
      </c>
      <c r="H70" s="12">
        <v>64.34</v>
      </c>
      <c r="I70" s="12">
        <f t="shared" si="0"/>
        <v>2</v>
      </c>
      <c r="J70" s="13" t="str">
        <f t="shared" si="1"/>
        <v>C</v>
      </c>
      <c r="K70" s="14" t="str">
        <f t="shared" si="2"/>
        <v>Qoniqarli</v>
      </c>
    </row>
    <row r="71" spans="1:11" ht="15.75" customHeight="1" x14ac:dyDescent="0.25">
      <c r="A71" s="10">
        <v>59</v>
      </c>
      <c r="B71" s="11" t="s">
        <v>114</v>
      </c>
      <c r="C71" s="11" t="s">
        <v>112</v>
      </c>
      <c r="D71" s="12">
        <v>35.78</v>
      </c>
      <c r="E71" s="12">
        <v>15.84</v>
      </c>
      <c r="F71" s="12">
        <v>51.62</v>
      </c>
      <c r="G71" s="12" t="s">
        <v>41</v>
      </c>
      <c r="H71" s="12">
        <v>63.62</v>
      </c>
      <c r="I71" s="12">
        <f t="shared" si="0"/>
        <v>2</v>
      </c>
      <c r="J71" s="13" t="str">
        <f t="shared" si="1"/>
        <v>C</v>
      </c>
      <c r="K71" s="14" t="str">
        <f t="shared" si="2"/>
        <v>Qoniqarli</v>
      </c>
    </row>
    <row r="72" spans="1:11" ht="15.75" customHeight="1" x14ac:dyDescent="0.25">
      <c r="A72" s="10">
        <v>60</v>
      </c>
      <c r="B72" s="11" t="s">
        <v>115</v>
      </c>
      <c r="C72" s="11" t="s">
        <v>112</v>
      </c>
      <c r="D72" s="12">
        <v>34.97</v>
      </c>
      <c r="E72" s="12">
        <v>15.84</v>
      </c>
      <c r="F72" s="12">
        <v>50.81</v>
      </c>
      <c r="G72" s="12" t="s">
        <v>41</v>
      </c>
      <c r="H72" s="12">
        <v>62.81</v>
      </c>
      <c r="I72" s="12">
        <f t="shared" si="0"/>
        <v>2</v>
      </c>
      <c r="J72" s="13" t="str">
        <f t="shared" si="1"/>
        <v>C</v>
      </c>
      <c r="K72" s="14" t="str">
        <f t="shared" si="2"/>
        <v>Qoniqarli</v>
      </c>
    </row>
    <row r="73" spans="1:11" ht="15.75" customHeight="1" x14ac:dyDescent="0.25">
      <c r="A73" s="10">
        <v>61</v>
      </c>
      <c r="B73" s="11" t="s">
        <v>116</v>
      </c>
      <c r="C73" s="11" t="s">
        <v>112</v>
      </c>
      <c r="D73" s="12">
        <v>29.75</v>
      </c>
      <c r="E73" s="12">
        <v>15.84</v>
      </c>
      <c r="F73" s="12">
        <v>45.59</v>
      </c>
      <c r="G73" s="12" t="s">
        <v>72</v>
      </c>
      <c r="H73" s="12">
        <v>67.59</v>
      </c>
      <c r="I73" s="12">
        <f t="shared" si="0"/>
        <v>2.5</v>
      </c>
      <c r="J73" s="13" t="str">
        <f t="shared" si="1"/>
        <v>C+</v>
      </c>
      <c r="K73" s="14" t="str">
        <f t="shared" si="2"/>
        <v>Qoniqarli</v>
      </c>
    </row>
    <row r="74" spans="1:11" ht="15.75" customHeight="1" x14ac:dyDescent="0.25">
      <c r="A74" s="10">
        <v>62</v>
      </c>
      <c r="B74" s="11" t="s">
        <v>117</v>
      </c>
      <c r="C74" s="11" t="s">
        <v>112</v>
      </c>
      <c r="D74" s="12">
        <v>37.79</v>
      </c>
      <c r="E74" s="12">
        <v>16.829999999999998</v>
      </c>
      <c r="F74" s="12">
        <v>54.62</v>
      </c>
      <c r="G74" s="12" t="s">
        <v>41</v>
      </c>
      <c r="H74" s="12">
        <v>66.62</v>
      </c>
      <c r="I74" s="12">
        <f t="shared" si="0"/>
        <v>2.5</v>
      </c>
      <c r="J74" s="13" t="str">
        <f t="shared" si="1"/>
        <v>C+</v>
      </c>
      <c r="K74" s="14" t="str">
        <f t="shared" si="2"/>
        <v>Qoniqarli</v>
      </c>
    </row>
    <row r="75" spans="1:11" ht="15.75" customHeight="1" x14ac:dyDescent="0.25">
      <c r="A75" s="10">
        <v>63</v>
      </c>
      <c r="B75" s="11" t="s">
        <v>118</v>
      </c>
      <c r="C75" s="11" t="s">
        <v>112</v>
      </c>
      <c r="D75" s="12">
        <v>33.770000000000003</v>
      </c>
      <c r="E75" s="12">
        <v>14.85</v>
      </c>
      <c r="F75" s="12">
        <v>48.62</v>
      </c>
      <c r="G75" s="12" t="s">
        <v>36</v>
      </c>
      <c r="H75" s="12">
        <v>66.62</v>
      </c>
      <c r="I75" s="12">
        <f t="shared" si="0"/>
        <v>2.5</v>
      </c>
      <c r="J75" s="13" t="str">
        <f t="shared" si="1"/>
        <v>C+</v>
      </c>
      <c r="K75" s="14" t="str">
        <f t="shared" si="2"/>
        <v>Qoniqarli</v>
      </c>
    </row>
    <row r="76" spans="1:11" ht="15.75" customHeight="1" x14ac:dyDescent="0.25">
      <c r="A76" s="10">
        <v>64</v>
      </c>
      <c r="B76" s="11" t="s">
        <v>119</v>
      </c>
      <c r="C76" s="11" t="s">
        <v>112</v>
      </c>
      <c r="D76" s="12">
        <v>12.06</v>
      </c>
      <c r="E76" s="12">
        <v>11.88</v>
      </c>
      <c r="F76" s="12">
        <v>23.94</v>
      </c>
      <c r="G76" s="12" t="s">
        <v>48</v>
      </c>
      <c r="H76" s="12">
        <v>23.94</v>
      </c>
      <c r="I76" s="12">
        <f t="shared" si="0"/>
        <v>0</v>
      </c>
      <c r="J76" s="13" t="str">
        <f t="shared" si="1"/>
        <v>F</v>
      </c>
      <c r="K76" s="14" t="str">
        <f t="shared" si="2"/>
        <v>Qoniqarsiz</v>
      </c>
    </row>
    <row r="77" spans="1:11" ht="15.75" customHeight="1" x14ac:dyDescent="0.25">
      <c r="A77" s="10">
        <v>65</v>
      </c>
      <c r="B77" s="11" t="s">
        <v>120</v>
      </c>
      <c r="C77" s="11" t="s">
        <v>112</v>
      </c>
      <c r="D77" s="12">
        <v>35.78</v>
      </c>
      <c r="E77" s="12">
        <v>18.809999999999999</v>
      </c>
      <c r="F77" s="12">
        <v>54.59</v>
      </c>
      <c r="G77" s="12" t="s">
        <v>58</v>
      </c>
      <c r="H77" s="12">
        <v>82.59</v>
      </c>
      <c r="I77" s="12">
        <f t="shared" ref="I77:I140" si="3">IF(H77*1&gt;=95,4.5,IF(H77*1&gt;=90,4,IF(H77*1&gt;=80,3.5,IF(H77*1&gt;=70,3,IF(H77*1&gt;=65,2.5,IF(H77*1&gt;=60,2,0))))))</f>
        <v>3.5</v>
      </c>
      <c r="J77" s="13" t="str">
        <f t="shared" ref="J77:J140" si="4">IF(H77*1&gt;=95,"A+",IF(H77*1&gt;=90,"A",IF(H77*1&gt;=80,"B+",IF(H77*1&gt;=70,"B",IF(H77*1&gt;=65,"C+",IF(H77*1&gt;=60,"C","F"))))))</f>
        <v>B+</v>
      </c>
      <c r="K77" s="14" t="str">
        <f t="shared" ref="K77:K140" si="5">IF(H77*1&gt;=70,"Yaxshi",IF(H77*1&gt;=60,"Qoniqarli","Qoniqarsiz"))</f>
        <v>Yaxshi</v>
      </c>
    </row>
    <row r="78" spans="1:11" ht="15.75" customHeight="1" x14ac:dyDescent="0.25">
      <c r="A78" s="10">
        <v>66</v>
      </c>
      <c r="B78" s="11" t="s">
        <v>121</v>
      </c>
      <c r="C78" s="11" t="s">
        <v>112</v>
      </c>
      <c r="D78" s="12">
        <v>36.58</v>
      </c>
      <c r="E78" s="12">
        <v>15.84</v>
      </c>
      <c r="F78" s="12">
        <v>52.42</v>
      </c>
      <c r="G78" s="12" t="s">
        <v>72</v>
      </c>
      <c r="H78" s="12">
        <v>74.42</v>
      </c>
      <c r="I78" s="12">
        <f t="shared" si="3"/>
        <v>3</v>
      </c>
      <c r="J78" s="13" t="str">
        <f t="shared" si="4"/>
        <v>B</v>
      </c>
      <c r="K78" s="14" t="str">
        <f t="shared" si="5"/>
        <v>Yaxshi</v>
      </c>
    </row>
    <row r="79" spans="1:11" ht="15.75" customHeight="1" x14ac:dyDescent="0.25">
      <c r="A79" s="10">
        <v>67</v>
      </c>
      <c r="B79" s="11" t="s">
        <v>122</v>
      </c>
      <c r="C79" s="11" t="s">
        <v>112</v>
      </c>
      <c r="D79" s="12">
        <v>34.57</v>
      </c>
      <c r="E79" s="12">
        <v>15.84</v>
      </c>
      <c r="F79" s="12">
        <v>50.41</v>
      </c>
      <c r="G79" s="12" t="s">
        <v>36</v>
      </c>
      <c r="H79" s="12">
        <v>68.41</v>
      </c>
      <c r="I79" s="12">
        <f t="shared" si="3"/>
        <v>2.5</v>
      </c>
      <c r="J79" s="13" t="str">
        <f t="shared" si="4"/>
        <v>C+</v>
      </c>
      <c r="K79" s="14" t="str">
        <f t="shared" si="5"/>
        <v>Qoniqarli</v>
      </c>
    </row>
    <row r="80" spans="1:11" ht="15.75" customHeight="1" x14ac:dyDescent="0.25">
      <c r="A80" s="10">
        <v>68</v>
      </c>
      <c r="B80" s="11" t="s">
        <v>123</v>
      </c>
      <c r="C80" s="11" t="s">
        <v>112</v>
      </c>
      <c r="D80" s="12">
        <v>35.380000000000003</v>
      </c>
      <c r="E80" s="12">
        <v>17.82</v>
      </c>
      <c r="F80" s="12">
        <v>53.2</v>
      </c>
      <c r="G80" s="12" t="s">
        <v>72</v>
      </c>
      <c r="H80" s="12">
        <v>75.2</v>
      </c>
      <c r="I80" s="12">
        <f t="shared" si="3"/>
        <v>3</v>
      </c>
      <c r="J80" s="13" t="str">
        <f t="shared" si="4"/>
        <v>B</v>
      </c>
      <c r="K80" s="14" t="str">
        <f t="shared" si="5"/>
        <v>Yaxshi</v>
      </c>
    </row>
    <row r="81" spans="1:11" ht="15.75" customHeight="1" x14ac:dyDescent="0.25">
      <c r="A81" s="10">
        <v>69</v>
      </c>
      <c r="B81" s="11" t="s">
        <v>124</v>
      </c>
      <c r="C81" s="11" t="s">
        <v>112</v>
      </c>
      <c r="D81" s="12">
        <v>37.79</v>
      </c>
      <c r="E81" s="12">
        <v>18.809999999999999</v>
      </c>
      <c r="F81" s="12">
        <v>56.6</v>
      </c>
      <c r="G81" s="12" t="s">
        <v>110</v>
      </c>
      <c r="H81" s="12">
        <v>96.6</v>
      </c>
      <c r="I81" s="12">
        <f t="shared" si="3"/>
        <v>4.5</v>
      </c>
      <c r="J81" s="13" t="str">
        <f t="shared" si="4"/>
        <v>A+</v>
      </c>
      <c r="K81" s="14" t="str">
        <f t="shared" si="5"/>
        <v>Yaxshi</v>
      </c>
    </row>
    <row r="82" spans="1:11" ht="15.75" customHeight="1" x14ac:dyDescent="0.25">
      <c r="A82" s="10">
        <v>70</v>
      </c>
      <c r="B82" s="11" t="s">
        <v>125</v>
      </c>
      <c r="C82" s="11" t="s">
        <v>112</v>
      </c>
      <c r="D82" s="12">
        <v>35.78</v>
      </c>
      <c r="E82" s="12">
        <v>18.809999999999999</v>
      </c>
      <c r="F82" s="12">
        <v>54.59</v>
      </c>
      <c r="G82" s="12" t="s">
        <v>64</v>
      </c>
      <c r="H82" s="12">
        <v>70.59</v>
      </c>
      <c r="I82" s="12">
        <f t="shared" si="3"/>
        <v>3</v>
      </c>
      <c r="J82" s="13" t="str">
        <f t="shared" si="4"/>
        <v>B</v>
      </c>
      <c r="K82" s="14" t="str">
        <f t="shared" si="5"/>
        <v>Yaxshi</v>
      </c>
    </row>
    <row r="83" spans="1:11" ht="15.75" customHeight="1" x14ac:dyDescent="0.25">
      <c r="A83" s="10">
        <v>71</v>
      </c>
      <c r="B83" s="11" t="s">
        <v>126</v>
      </c>
      <c r="C83" s="11" t="s">
        <v>112</v>
      </c>
      <c r="D83" s="12">
        <v>34.57</v>
      </c>
      <c r="E83" s="12">
        <v>16.829999999999998</v>
      </c>
      <c r="F83" s="12">
        <v>51.4</v>
      </c>
      <c r="G83" s="12" t="s">
        <v>45</v>
      </c>
      <c r="H83" s="12">
        <v>71.400000000000006</v>
      </c>
      <c r="I83" s="12">
        <f t="shared" si="3"/>
        <v>3</v>
      </c>
      <c r="J83" s="13" t="str">
        <f t="shared" si="4"/>
        <v>B</v>
      </c>
      <c r="K83" s="14" t="str">
        <f t="shared" si="5"/>
        <v>Yaxshi</v>
      </c>
    </row>
    <row r="84" spans="1:11" ht="15.75" customHeight="1" x14ac:dyDescent="0.25">
      <c r="A84" s="10">
        <v>72</v>
      </c>
      <c r="B84" s="11" t="s">
        <v>127</v>
      </c>
      <c r="C84" s="11" t="s">
        <v>112</v>
      </c>
      <c r="D84" s="12">
        <v>32.56</v>
      </c>
      <c r="E84" s="12">
        <v>14.85</v>
      </c>
      <c r="F84" s="12">
        <v>47.41</v>
      </c>
      <c r="G84" s="12" t="s">
        <v>110</v>
      </c>
      <c r="H84" s="12">
        <v>87.41</v>
      </c>
      <c r="I84" s="12">
        <f t="shared" si="3"/>
        <v>3.5</v>
      </c>
      <c r="J84" s="13" t="str">
        <f t="shared" si="4"/>
        <v>B+</v>
      </c>
      <c r="K84" s="14" t="str">
        <f t="shared" si="5"/>
        <v>Yaxshi</v>
      </c>
    </row>
    <row r="85" spans="1:11" ht="15.75" customHeight="1" x14ac:dyDescent="0.25">
      <c r="A85" s="10">
        <v>73</v>
      </c>
      <c r="B85" s="11" t="s">
        <v>128</v>
      </c>
      <c r="C85" s="11" t="s">
        <v>112</v>
      </c>
      <c r="D85" s="12">
        <v>33.770000000000003</v>
      </c>
      <c r="E85" s="12">
        <v>15.84</v>
      </c>
      <c r="F85" s="12">
        <v>49.61</v>
      </c>
      <c r="G85" s="12" t="s">
        <v>45</v>
      </c>
      <c r="H85" s="12">
        <v>69.61</v>
      </c>
      <c r="I85" s="12">
        <f t="shared" si="3"/>
        <v>2.5</v>
      </c>
      <c r="J85" s="13" t="str">
        <f t="shared" si="4"/>
        <v>C+</v>
      </c>
      <c r="K85" s="14" t="str">
        <f t="shared" si="5"/>
        <v>Qoniqarli</v>
      </c>
    </row>
    <row r="86" spans="1:11" ht="15.75" customHeight="1" x14ac:dyDescent="0.25">
      <c r="A86" s="10">
        <v>74</v>
      </c>
      <c r="B86" s="11" t="s">
        <v>129</v>
      </c>
      <c r="C86" s="11" t="s">
        <v>112</v>
      </c>
      <c r="D86" s="12">
        <v>37.39</v>
      </c>
      <c r="E86" s="12">
        <v>19.8</v>
      </c>
      <c r="F86" s="12">
        <v>57.19</v>
      </c>
      <c r="G86" s="12" t="s">
        <v>72</v>
      </c>
      <c r="H86" s="12">
        <v>79.19</v>
      </c>
      <c r="I86" s="12">
        <f t="shared" si="3"/>
        <v>3</v>
      </c>
      <c r="J86" s="13" t="str">
        <f t="shared" si="4"/>
        <v>B</v>
      </c>
      <c r="K86" s="14" t="str">
        <f t="shared" si="5"/>
        <v>Yaxshi</v>
      </c>
    </row>
    <row r="87" spans="1:11" ht="15.75" customHeight="1" x14ac:dyDescent="0.25">
      <c r="A87" s="10">
        <v>75</v>
      </c>
      <c r="B87" s="11" t="s">
        <v>130</v>
      </c>
      <c r="C87" s="11" t="s">
        <v>112</v>
      </c>
      <c r="D87" s="12">
        <v>38.19</v>
      </c>
      <c r="E87" s="12">
        <v>12.87</v>
      </c>
      <c r="F87" s="12">
        <v>51.06</v>
      </c>
      <c r="G87" s="12" t="s">
        <v>48</v>
      </c>
      <c r="H87" s="12">
        <v>51.06</v>
      </c>
      <c r="I87" s="12">
        <f t="shared" si="3"/>
        <v>0</v>
      </c>
      <c r="J87" s="13" t="str">
        <f t="shared" si="4"/>
        <v>F</v>
      </c>
      <c r="K87" s="14" t="str">
        <f t="shared" si="5"/>
        <v>Qoniqarsiz</v>
      </c>
    </row>
    <row r="88" spans="1:11" ht="15.75" customHeight="1" x14ac:dyDescent="0.25">
      <c r="A88" s="10">
        <v>76</v>
      </c>
      <c r="B88" s="11" t="s">
        <v>131</v>
      </c>
      <c r="C88" s="11" t="s">
        <v>112</v>
      </c>
      <c r="D88" s="12">
        <v>30.95</v>
      </c>
      <c r="E88" s="12">
        <v>16.829999999999998</v>
      </c>
      <c r="F88" s="12">
        <v>47.78</v>
      </c>
      <c r="G88" s="12" t="s">
        <v>48</v>
      </c>
      <c r="H88" s="12">
        <v>47.78</v>
      </c>
      <c r="I88" s="12">
        <f t="shared" si="3"/>
        <v>0</v>
      </c>
      <c r="J88" s="13" t="str">
        <f t="shared" si="4"/>
        <v>F</v>
      </c>
      <c r="K88" s="14" t="str">
        <f t="shared" si="5"/>
        <v>Qoniqarsiz</v>
      </c>
    </row>
    <row r="89" spans="1:11" ht="15.75" customHeight="1" x14ac:dyDescent="0.25">
      <c r="A89" s="10">
        <v>77</v>
      </c>
      <c r="B89" s="11" t="s">
        <v>132</v>
      </c>
      <c r="C89" s="11" t="s">
        <v>112</v>
      </c>
      <c r="D89" s="12">
        <v>38.19</v>
      </c>
      <c r="E89" s="12">
        <v>19.8</v>
      </c>
      <c r="F89" s="12">
        <v>57.99</v>
      </c>
      <c r="G89" s="12" t="s">
        <v>43</v>
      </c>
      <c r="H89" s="12">
        <v>71.989999999999995</v>
      </c>
      <c r="I89" s="12">
        <f t="shared" si="3"/>
        <v>3</v>
      </c>
      <c r="J89" s="13" t="str">
        <f t="shared" si="4"/>
        <v>B</v>
      </c>
      <c r="K89" s="14" t="str">
        <f t="shared" si="5"/>
        <v>Yaxshi</v>
      </c>
    </row>
    <row r="90" spans="1:11" ht="15.75" customHeight="1" x14ac:dyDescent="0.25">
      <c r="A90" s="10">
        <v>78</v>
      </c>
      <c r="B90" s="11" t="s">
        <v>133</v>
      </c>
      <c r="C90" s="11" t="s">
        <v>112</v>
      </c>
      <c r="D90" s="12">
        <v>38.99</v>
      </c>
      <c r="E90" s="12">
        <v>19.8</v>
      </c>
      <c r="F90" s="12">
        <v>58.79</v>
      </c>
      <c r="G90" s="12" t="s">
        <v>48</v>
      </c>
      <c r="H90" s="12">
        <v>58.79</v>
      </c>
      <c r="I90" s="12">
        <f t="shared" si="3"/>
        <v>0</v>
      </c>
      <c r="J90" s="13" t="str">
        <f t="shared" si="4"/>
        <v>F</v>
      </c>
      <c r="K90" s="14" t="str">
        <f t="shared" si="5"/>
        <v>Qoniqarsiz</v>
      </c>
    </row>
    <row r="91" spans="1:11" ht="15.75" customHeight="1" x14ac:dyDescent="0.25">
      <c r="A91" s="10">
        <v>79</v>
      </c>
      <c r="B91" s="11" t="s">
        <v>134</v>
      </c>
      <c r="C91" s="11" t="s">
        <v>112</v>
      </c>
      <c r="D91" s="12">
        <v>38.590000000000003</v>
      </c>
      <c r="E91" s="12">
        <v>16.829999999999998</v>
      </c>
      <c r="F91" s="12">
        <v>55.42</v>
      </c>
      <c r="G91" s="12" t="s">
        <v>72</v>
      </c>
      <c r="H91" s="12">
        <v>77.42</v>
      </c>
      <c r="I91" s="12">
        <f t="shared" si="3"/>
        <v>3</v>
      </c>
      <c r="J91" s="13" t="str">
        <f t="shared" si="4"/>
        <v>B</v>
      </c>
      <c r="K91" s="14" t="str">
        <f t="shared" si="5"/>
        <v>Yaxshi</v>
      </c>
    </row>
    <row r="92" spans="1:11" ht="15.75" customHeight="1" x14ac:dyDescent="0.25">
      <c r="A92" s="10">
        <v>80</v>
      </c>
      <c r="B92" s="11" t="s">
        <v>135</v>
      </c>
      <c r="C92" s="11" t="s">
        <v>112</v>
      </c>
      <c r="D92" s="12">
        <v>33.369999999999997</v>
      </c>
      <c r="E92" s="12">
        <v>12.87</v>
      </c>
      <c r="F92" s="12">
        <v>46.24</v>
      </c>
      <c r="G92" s="12" t="s">
        <v>34</v>
      </c>
      <c r="H92" s="12">
        <v>80.239999999999995</v>
      </c>
      <c r="I92" s="12">
        <f t="shared" si="3"/>
        <v>3.5</v>
      </c>
      <c r="J92" s="13" t="str">
        <f t="shared" si="4"/>
        <v>B+</v>
      </c>
      <c r="K92" s="14" t="str">
        <f t="shared" si="5"/>
        <v>Yaxshi</v>
      </c>
    </row>
    <row r="93" spans="1:11" ht="15.75" customHeight="1" x14ac:dyDescent="0.25">
      <c r="A93" s="10">
        <v>81</v>
      </c>
      <c r="B93" s="11" t="s">
        <v>136</v>
      </c>
      <c r="C93" s="11" t="s">
        <v>112</v>
      </c>
      <c r="D93" s="12">
        <v>38.19</v>
      </c>
      <c r="E93" s="12">
        <v>16.829999999999998</v>
      </c>
      <c r="F93" s="12">
        <v>55.02</v>
      </c>
      <c r="G93" s="12" t="s">
        <v>36</v>
      </c>
      <c r="H93" s="12">
        <v>73.02</v>
      </c>
      <c r="I93" s="12">
        <f t="shared" si="3"/>
        <v>3</v>
      </c>
      <c r="J93" s="13" t="str">
        <f t="shared" si="4"/>
        <v>B</v>
      </c>
      <c r="K93" s="14" t="str">
        <f t="shared" si="5"/>
        <v>Yaxshi</v>
      </c>
    </row>
    <row r="94" spans="1:11" ht="15.75" customHeight="1" x14ac:dyDescent="0.25">
      <c r="A94" s="10">
        <v>82</v>
      </c>
      <c r="B94" s="11" t="s">
        <v>137</v>
      </c>
      <c r="C94" s="11" t="s">
        <v>112</v>
      </c>
      <c r="D94" s="12">
        <v>34.17</v>
      </c>
      <c r="E94" s="12">
        <v>18.809999999999999</v>
      </c>
      <c r="F94" s="12">
        <v>52.98</v>
      </c>
      <c r="G94" s="12" t="s">
        <v>41</v>
      </c>
      <c r="H94" s="12">
        <v>64.98</v>
      </c>
      <c r="I94" s="12">
        <f t="shared" si="3"/>
        <v>2</v>
      </c>
      <c r="J94" s="13" t="str">
        <f t="shared" si="4"/>
        <v>C</v>
      </c>
      <c r="K94" s="14" t="str">
        <f t="shared" si="5"/>
        <v>Qoniqarli</v>
      </c>
    </row>
    <row r="95" spans="1:11" ht="15.75" customHeight="1" x14ac:dyDescent="0.25">
      <c r="A95" s="10">
        <v>83</v>
      </c>
      <c r="B95" s="11" t="s">
        <v>138</v>
      </c>
      <c r="C95" s="11" t="s">
        <v>112</v>
      </c>
      <c r="D95" s="12">
        <v>34.57</v>
      </c>
      <c r="E95" s="12">
        <v>19.8</v>
      </c>
      <c r="F95" s="12">
        <v>54.37</v>
      </c>
      <c r="G95" s="12" t="s">
        <v>45</v>
      </c>
      <c r="H95" s="12">
        <v>74.37</v>
      </c>
      <c r="I95" s="12">
        <f t="shared" si="3"/>
        <v>3</v>
      </c>
      <c r="J95" s="13" t="str">
        <f t="shared" si="4"/>
        <v>B</v>
      </c>
      <c r="K95" s="14" t="str">
        <f t="shared" si="5"/>
        <v>Yaxshi</v>
      </c>
    </row>
    <row r="96" spans="1:11" ht="15.75" customHeight="1" x14ac:dyDescent="0.25">
      <c r="A96" s="10">
        <v>84</v>
      </c>
      <c r="B96" s="11" t="s">
        <v>139</v>
      </c>
      <c r="C96" s="11" t="s">
        <v>112</v>
      </c>
      <c r="D96" s="12">
        <v>31.76</v>
      </c>
      <c r="E96" s="12">
        <v>18.809999999999999</v>
      </c>
      <c r="F96" s="12">
        <v>50.57</v>
      </c>
      <c r="G96" s="12" t="s">
        <v>72</v>
      </c>
      <c r="H96" s="12">
        <v>72.569999999999993</v>
      </c>
      <c r="I96" s="12">
        <f t="shared" si="3"/>
        <v>3</v>
      </c>
      <c r="J96" s="13" t="str">
        <f t="shared" si="4"/>
        <v>B</v>
      </c>
      <c r="K96" s="14" t="str">
        <f t="shared" si="5"/>
        <v>Yaxshi</v>
      </c>
    </row>
    <row r="97" spans="1:11" ht="15.75" customHeight="1" x14ac:dyDescent="0.25">
      <c r="A97" s="10">
        <v>85</v>
      </c>
      <c r="B97" s="11" t="s">
        <v>140</v>
      </c>
      <c r="C97" s="11" t="s">
        <v>112</v>
      </c>
      <c r="D97" s="12">
        <v>35.78</v>
      </c>
      <c r="E97" s="12">
        <v>17.82</v>
      </c>
      <c r="F97" s="12">
        <v>53.6</v>
      </c>
      <c r="G97" s="12" t="s">
        <v>36</v>
      </c>
      <c r="H97" s="12">
        <v>71.599999999999994</v>
      </c>
      <c r="I97" s="12">
        <f t="shared" si="3"/>
        <v>3</v>
      </c>
      <c r="J97" s="13" t="str">
        <f t="shared" si="4"/>
        <v>B</v>
      </c>
      <c r="K97" s="14" t="str">
        <f t="shared" si="5"/>
        <v>Yaxshi</v>
      </c>
    </row>
    <row r="98" spans="1:11" ht="15.75" customHeight="1" x14ac:dyDescent="0.25">
      <c r="A98" s="10">
        <v>86</v>
      </c>
      <c r="B98" s="11" t="s">
        <v>141</v>
      </c>
      <c r="C98" s="11" t="s">
        <v>112</v>
      </c>
      <c r="D98" s="12">
        <v>32.96</v>
      </c>
      <c r="E98" s="12">
        <v>18.809999999999999</v>
      </c>
      <c r="F98" s="12">
        <v>51.77</v>
      </c>
      <c r="G98" s="12" t="s">
        <v>48</v>
      </c>
      <c r="H98" s="12">
        <v>51.77</v>
      </c>
      <c r="I98" s="12">
        <f t="shared" si="3"/>
        <v>0</v>
      </c>
      <c r="J98" s="13" t="str">
        <f t="shared" si="4"/>
        <v>F</v>
      </c>
      <c r="K98" s="14" t="str">
        <f t="shared" si="5"/>
        <v>Qoniqarsiz</v>
      </c>
    </row>
    <row r="99" spans="1:11" ht="15.75" customHeight="1" x14ac:dyDescent="0.25">
      <c r="A99" s="10">
        <v>87</v>
      </c>
      <c r="B99" s="11" t="s">
        <v>142</v>
      </c>
      <c r="C99" s="11" t="s">
        <v>112</v>
      </c>
      <c r="D99" s="12">
        <v>36.18</v>
      </c>
      <c r="E99" s="12">
        <v>18.809999999999999</v>
      </c>
      <c r="F99" s="12">
        <v>54.99</v>
      </c>
      <c r="G99" s="12" t="s">
        <v>38</v>
      </c>
      <c r="H99" s="12">
        <v>78.989999999999995</v>
      </c>
      <c r="I99" s="12">
        <f t="shared" si="3"/>
        <v>3</v>
      </c>
      <c r="J99" s="13" t="str">
        <f t="shared" si="4"/>
        <v>B</v>
      </c>
      <c r="K99" s="14" t="str">
        <f t="shared" si="5"/>
        <v>Yaxshi</v>
      </c>
    </row>
    <row r="100" spans="1:11" ht="15.75" customHeight="1" x14ac:dyDescent="0.25">
      <c r="A100" s="10">
        <v>88</v>
      </c>
      <c r="B100" s="11" t="s">
        <v>143</v>
      </c>
      <c r="C100" s="11" t="s">
        <v>112</v>
      </c>
      <c r="D100" s="12">
        <v>28.54</v>
      </c>
      <c r="E100" s="12">
        <v>11.88</v>
      </c>
      <c r="F100" s="12">
        <v>40.42</v>
      </c>
      <c r="G100" s="12" t="s">
        <v>72</v>
      </c>
      <c r="H100" s="12">
        <v>62.42</v>
      </c>
      <c r="I100" s="12">
        <f t="shared" si="3"/>
        <v>2</v>
      </c>
      <c r="J100" s="13" t="str">
        <f t="shared" si="4"/>
        <v>C</v>
      </c>
      <c r="K100" s="14" t="str">
        <f t="shared" si="5"/>
        <v>Qoniqarli</v>
      </c>
    </row>
    <row r="101" spans="1:11" ht="15.75" customHeight="1" x14ac:dyDescent="0.25">
      <c r="A101" s="10">
        <v>89</v>
      </c>
      <c r="B101" s="11" t="s">
        <v>144</v>
      </c>
      <c r="C101" s="11" t="s">
        <v>112</v>
      </c>
      <c r="D101" s="12">
        <v>39.4</v>
      </c>
      <c r="E101" s="12">
        <v>19.8</v>
      </c>
      <c r="F101" s="12">
        <v>59.2</v>
      </c>
      <c r="G101" s="12" t="s">
        <v>58</v>
      </c>
      <c r="H101" s="12">
        <v>87.2</v>
      </c>
      <c r="I101" s="12">
        <f t="shared" si="3"/>
        <v>3.5</v>
      </c>
      <c r="J101" s="13" t="str">
        <f t="shared" si="4"/>
        <v>B+</v>
      </c>
      <c r="K101" s="14" t="str">
        <f t="shared" si="5"/>
        <v>Yaxshi</v>
      </c>
    </row>
    <row r="102" spans="1:11" ht="15.75" customHeight="1" x14ac:dyDescent="0.25">
      <c r="A102" s="10">
        <v>90</v>
      </c>
      <c r="B102" s="11" t="s">
        <v>145</v>
      </c>
      <c r="C102" s="11" t="s">
        <v>112</v>
      </c>
      <c r="D102" s="12">
        <v>19.3</v>
      </c>
      <c r="E102" s="12">
        <v>14.85</v>
      </c>
      <c r="F102" s="12">
        <v>34.15</v>
      </c>
      <c r="G102" s="12" t="s">
        <v>58</v>
      </c>
      <c r="H102" s="12">
        <v>62.15</v>
      </c>
      <c r="I102" s="12">
        <f t="shared" si="3"/>
        <v>2</v>
      </c>
      <c r="J102" s="13" t="str">
        <f t="shared" si="4"/>
        <v>C</v>
      </c>
      <c r="K102" s="14" t="str">
        <f t="shared" si="5"/>
        <v>Qoniqarli</v>
      </c>
    </row>
    <row r="103" spans="1:11" ht="15.75" customHeight="1" x14ac:dyDescent="0.25">
      <c r="A103" s="10">
        <v>91</v>
      </c>
      <c r="B103" s="11" t="s">
        <v>146</v>
      </c>
      <c r="C103" s="11" t="s">
        <v>112</v>
      </c>
      <c r="D103" s="12">
        <v>40.200000000000003</v>
      </c>
      <c r="E103" s="12">
        <v>19.8</v>
      </c>
      <c r="F103" s="12" t="s">
        <v>62</v>
      </c>
      <c r="G103" s="12" t="s">
        <v>58</v>
      </c>
      <c r="H103" s="12" t="s">
        <v>78</v>
      </c>
      <c r="I103" s="12">
        <f t="shared" si="3"/>
        <v>3.5</v>
      </c>
      <c r="J103" s="13" t="str">
        <f t="shared" si="4"/>
        <v>B+</v>
      </c>
      <c r="K103" s="14" t="str">
        <f t="shared" si="5"/>
        <v>Yaxshi</v>
      </c>
    </row>
    <row r="104" spans="1:11" ht="15.75" customHeight="1" x14ac:dyDescent="0.25">
      <c r="A104" s="10">
        <v>92</v>
      </c>
      <c r="B104" s="11" t="s">
        <v>147</v>
      </c>
      <c r="C104" s="11" t="s">
        <v>112</v>
      </c>
      <c r="D104" s="12">
        <v>37.79</v>
      </c>
      <c r="E104" s="12">
        <v>19.8</v>
      </c>
      <c r="F104" s="12">
        <v>57.59</v>
      </c>
      <c r="G104" s="12" t="s">
        <v>58</v>
      </c>
      <c r="H104" s="12">
        <v>85.59</v>
      </c>
      <c r="I104" s="12">
        <f t="shared" si="3"/>
        <v>3.5</v>
      </c>
      <c r="J104" s="13" t="str">
        <f t="shared" si="4"/>
        <v>B+</v>
      </c>
      <c r="K104" s="14" t="str">
        <f t="shared" si="5"/>
        <v>Yaxshi</v>
      </c>
    </row>
    <row r="105" spans="1:11" ht="15.75" customHeight="1" x14ac:dyDescent="0.25">
      <c r="A105" s="10">
        <v>93</v>
      </c>
      <c r="B105" s="11" t="s">
        <v>148</v>
      </c>
      <c r="C105" s="11" t="s">
        <v>112</v>
      </c>
      <c r="D105" s="12">
        <v>30.55</v>
      </c>
      <c r="E105" s="12">
        <v>16.829999999999998</v>
      </c>
      <c r="F105" s="12">
        <v>47.38</v>
      </c>
      <c r="G105" s="12" t="s">
        <v>58</v>
      </c>
      <c r="H105" s="12">
        <v>75.38</v>
      </c>
      <c r="I105" s="12">
        <f t="shared" si="3"/>
        <v>3</v>
      </c>
      <c r="J105" s="13" t="str">
        <f t="shared" si="4"/>
        <v>B</v>
      </c>
      <c r="K105" s="14" t="str">
        <f t="shared" si="5"/>
        <v>Yaxshi</v>
      </c>
    </row>
    <row r="106" spans="1:11" ht="15.75" customHeight="1" x14ac:dyDescent="0.25">
      <c r="A106" s="10">
        <v>94</v>
      </c>
      <c r="B106" s="11" t="s">
        <v>149</v>
      </c>
      <c r="C106" s="11" t="s">
        <v>112</v>
      </c>
      <c r="D106" s="12" t="s">
        <v>48</v>
      </c>
      <c r="E106" s="12" t="s">
        <v>48</v>
      </c>
      <c r="F106" s="12" t="s">
        <v>48</v>
      </c>
      <c r="G106" s="12" t="s">
        <v>150</v>
      </c>
      <c r="H106" s="12" t="s">
        <v>150</v>
      </c>
      <c r="I106" s="12">
        <f t="shared" si="3"/>
        <v>0</v>
      </c>
      <c r="J106" s="13" t="str">
        <f t="shared" si="4"/>
        <v>F</v>
      </c>
      <c r="K106" s="14" t="str">
        <f t="shared" si="5"/>
        <v>Qoniqarsiz</v>
      </c>
    </row>
    <row r="107" spans="1:11" ht="15.75" customHeight="1" x14ac:dyDescent="0.25">
      <c r="A107" s="10">
        <v>95</v>
      </c>
      <c r="B107" s="11" t="s">
        <v>151</v>
      </c>
      <c r="C107" s="11" t="s">
        <v>112</v>
      </c>
      <c r="D107" s="12">
        <v>34.57</v>
      </c>
      <c r="E107" s="12">
        <v>18.809999999999999</v>
      </c>
      <c r="F107" s="12">
        <v>53.38</v>
      </c>
      <c r="G107" s="12" t="s">
        <v>38</v>
      </c>
      <c r="H107" s="12">
        <v>77.38</v>
      </c>
      <c r="I107" s="12">
        <f t="shared" si="3"/>
        <v>3</v>
      </c>
      <c r="J107" s="13" t="str">
        <f t="shared" si="4"/>
        <v>B</v>
      </c>
      <c r="K107" s="14" t="str">
        <f t="shared" si="5"/>
        <v>Yaxshi</v>
      </c>
    </row>
    <row r="108" spans="1:11" ht="15.75" customHeight="1" x14ac:dyDescent="0.25">
      <c r="A108" s="10">
        <v>96</v>
      </c>
      <c r="B108" s="11" t="s">
        <v>152</v>
      </c>
      <c r="C108" s="11" t="s">
        <v>112</v>
      </c>
      <c r="D108" s="12" t="s">
        <v>48</v>
      </c>
      <c r="E108" s="12">
        <v>0</v>
      </c>
      <c r="F108" s="12" t="s">
        <v>48</v>
      </c>
      <c r="G108" s="12" t="s">
        <v>48</v>
      </c>
      <c r="H108" s="12" t="s">
        <v>48</v>
      </c>
      <c r="I108" s="12">
        <f t="shared" si="3"/>
        <v>0</v>
      </c>
      <c r="J108" s="13" t="str">
        <f t="shared" si="4"/>
        <v>F</v>
      </c>
      <c r="K108" s="14" t="str">
        <f t="shared" si="5"/>
        <v>Qoniqarsiz</v>
      </c>
    </row>
    <row r="109" spans="1:11" ht="15.75" customHeight="1" x14ac:dyDescent="0.25">
      <c r="A109" s="10">
        <v>97</v>
      </c>
      <c r="B109" s="11" t="s">
        <v>153</v>
      </c>
      <c r="C109" s="11" t="s">
        <v>112</v>
      </c>
      <c r="D109" s="12" t="s">
        <v>48</v>
      </c>
      <c r="E109" s="12">
        <v>14.85</v>
      </c>
      <c r="F109" s="12">
        <v>14.85</v>
      </c>
      <c r="G109" s="12" t="s">
        <v>72</v>
      </c>
      <c r="H109" s="12">
        <v>36.85</v>
      </c>
      <c r="I109" s="12">
        <f t="shared" si="3"/>
        <v>0</v>
      </c>
      <c r="J109" s="13" t="str">
        <f t="shared" si="4"/>
        <v>F</v>
      </c>
      <c r="K109" s="14" t="str">
        <f t="shared" si="5"/>
        <v>Qoniqarsiz</v>
      </c>
    </row>
    <row r="110" spans="1:11" ht="15.75" customHeight="1" x14ac:dyDescent="0.25">
      <c r="A110" s="10">
        <v>98</v>
      </c>
      <c r="B110" s="11" t="s">
        <v>154</v>
      </c>
      <c r="C110" s="11" t="s">
        <v>112</v>
      </c>
      <c r="D110" s="12">
        <v>35.78</v>
      </c>
      <c r="E110" s="12">
        <v>16.829999999999998</v>
      </c>
      <c r="F110" s="12">
        <v>52.61</v>
      </c>
      <c r="G110" s="12" t="s">
        <v>104</v>
      </c>
      <c r="H110" s="12">
        <v>82.61</v>
      </c>
      <c r="I110" s="12">
        <f t="shared" si="3"/>
        <v>3.5</v>
      </c>
      <c r="J110" s="13" t="str">
        <f t="shared" si="4"/>
        <v>B+</v>
      </c>
      <c r="K110" s="14" t="str">
        <f t="shared" si="5"/>
        <v>Yaxshi</v>
      </c>
    </row>
    <row r="111" spans="1:11" ht="15.75" customHeight="1" x14ac:dyDescent="0.25">
      <c r="A111" s="10">
        <v>99</v>
      </c>
      <c r="B111" s="11" t="s">
        <v>155</v>
      </c>
      <c r="C111" s="11" t="s">
        <v>112</v>
      </c>
      <c r="D111" s="12">
        <v>34.97</v>
      </c>
      <c r="E111" s="12">
        <v>14.85</v>
      </c>
      <c r="F111" s="12">
        <v>49.82</v>
      </c>
      <c r="G111" s="12" t="s">
        <v>43</v>
      </c>
      <c r="H111" s="12">
        <v>63.82</v>
      </c>
      <c r="I111" s="12">
        <f t="shared" si="3"/>
        <v>2</v>
      </c>
      <c r="J111" s="13" t="str">
        <f t="shared" si="4"/>
        <v>C</v>
      </c>
      <c r="K111" s="14" t="str">
        <f t="shared" si="5"/>
        <v>Qoniqarli</v>
      </c>
    </row>
    <row r="112" spans="1:11" ht="15.75" customHeight="1" x14ac:dyDescent="0.25">
      <c r="A112" s="10">
        <v>100</v>
      </c>
      <c r="B112" s="11" t="s">
        <v>156</v>
      </c>
      <c r="C112" s="11" t="s">
        <v>112</v>
      </c>
      <c r="D112" s="12">
        <v>34.57</v>
      </c>
      <c r="E112" s="12">
        <v>18.809999999999999</v>
      </c>
      <c r="F112" s="12">
        <v>53.38</v>
      </c>
      <c r="G112" s="12" t="s">
        <v>38</v>
      </c>
      <c r="H112" s="12">
        <v>77.38</v>
      </c>
      <c r="I112" s="12">
        <f t="shared" si="3"/>
        <v>3</v>
      </c>
      <c r="J112" s="13" t="str">
        <f t="shared" si="4"/>
        <v>B</v>
      </c>
      <c r="K112" s="14" t="str">
        <f t="shared" si="5"/>
        <v>Yaxshi</v>
      </c>
    </row>
    <row r="113" spans="1:11" ht="15.75" customHeight="1" x14ac:dyDescent="0.25">
      <c r="A113" s="10">
        <v>101</v>
      </c>
      <c r="B113" s="11" t="s">
        <v>157</v>
      </c>
      <c r="C113" s="11" t="s">
        <v>112</v>
      </c>
      <c r="D113" s="12">
        <v>39.799999999999997</v>
      </c>
      <c r="E113" s="12">
        <v>19.8</v>
      </c>
      <c r="F113" s="12">
        <v>59.6</v>
      </c>
      <c r="G113" s="12" t="s">
        <v>104</v>
      </c>
      <c r="H113" s="12">
        <v>89.6</v>
      </c>
      <c r="I113" s="12">
        <f t="shared" si="3"/>
        <v>3.5</v>
      </c>
      <c r="J113" s="13" t="str">
        <f t="shared" si="4"/>
        <v>B+</v>
      </c>
      <c r="K113" s="14" t="str">
        <f t="shared" si="5"/>
        <v>Yaxshi</v>
      </c>
    </row>
    <row r="114" spans="1:11" ht="15.75" customHeight="1" x14ac:dyDescent="0.25">
      <c r="A114" s="10">
        <v>102</v>
      </c>
      <c r="B114" s="11" t="s">
        <v>158</v>
      </c>
      <c r="C114" s="11" t="s">
        <v>112</v>
      </c>
      <c r="D114" s="12">
        <v>35.78</v>
      </c>
      <c r="E114" s="12">
        <v>18.809999999999999</v>
      </c>
      <c r="F114" s="12">
        <v>54.59</v>
      </c>
      <c r="G114" s="12" t="s">
        <v>55</v>
      </c>
      <c r="H114" s="12">
        <v>80.59</v>
      </c>
      <c r="I114" s="12">
        <f t="shared" si="3"/>
        <v>3.5</v>
      </c>
      <c r="J114" s="13" t="str">
        <f t="shared" si="4"/>
        <v>B+</v>
      </c>
      <c r="K114" s="14" t="str">
        <f t="shared" si="5"/>
        <v>Yaxshi</v>
      </c>
    </row>
    <row r="115" spans="1:11" ht="15.75" customHeight="1" x14ac:dyDescent="0.25">
      <c r="A115" s="10">
        <v>103</v>
      </c>
      <c r="B115" s="11" t="s">
        <v>159</v>
      </c>
      <c r="C115" s="11" t="s">
        <v>112</v>
      </c>
      <c r="D115" s="12">
        <v>39.799999999999997</v>
      </c>
      <c r="E115" s="12">
        <v>17.82</v>
      </c>
      <c r="F115" s="12">
        <v>57.62</v>
      </c>
      <c r="G115" s="12" t="s">
        <v>38</v>
      </c>
      <c r="H115" s="12">
        <v>81.62</v>
      </c>
      <c r="I115" s="12">
        <f t="shared" si="3"/>
        <v>3.5</v>
      </c>
      <c r="J115" s="13" t="str">
        <f t="shared" si="4"/>
        <v>B+</v>
      </c>
      <c r="K115" s="14" t="str">
        <f t="shared" si="5"/>
        <v>Yaxshi</v>
      </c>
    </row>
    <row r="116" spans="1:11" ht="15.75" customHeight="1" x14ac:dyDescent="0.25">
      <c r="A116" s="10">
        <v>104</v>
      </c>
      <c r="B116" s="11" t="s">
        <v>160</v>
      </c>
      <c r="C116" s="11" t="s">
        <v>112</v>
      </c>
      <c r="D116" s="12">
        <v>34.57</v>
      </c>
      <c r="E116" s="12">
        <v>15.84</v>
      </c>
      <c r="F116" s="12">
        <v>50.41</v>
      </c>
      <c r="G116" s="12" t="s">
        <v>104</v>
      </c>
      <c r="H116" s="12">
        <v>80.41</v>
      </c>
      <c r="I116" s="12">
        <f t="shared" si="3"/>
        <v>3.5</v>
      </c>
      <c r="J116" s="13" t="str">
        <f t="shared" si="4"/>
        <v>B+</v>
      </c>
      <c r="K116" s="14" t="str">
        <f t="shared" si="5"/>
        <v>Yaxshi</v>
      </c>
    </row>
    <row r="117" spans="1:11" ht="15.75" customHeight="1" x14ac:dyDescent="0.25">
      <c r="A117" s="10">
        <v>105</v>
      </c>
      <c r="B117" s="11" t="s">
        <v>161</v>
      </c>
      <c r="C117" s="11" t="s">
        <v>112</v>
      </c>
      <c r="D117" s="12">
        <v>39.799999999999997</v>
      </c>
      <c r="E117" s="12">
        <v>19.8</v>
      </c>
      <c r="F117" s="12">
        <v>59.6</v>
      </c>
      <c r="G117" s="12" t="s">
        <v>64</v>
      </c>
      <c r="H117" s="12">
        <v>75.599999999999994</v>
      </c>
      <c r="I117" s="12">
        <f t="shared" si="3"/>
        <v>3</v>
      </c>
      <c r="J117" s="13" t="str">
        <f t="shared" si="4"/>
        <v>B</v>
      </c>
      <c r="K117" s="14" t="str">
        <f t="shared" si="5"/>
        <v>Yaxshi</v>
      </c>
    </row>
    <row r="118" spans="1:11" ht="15.75" customHeight="1" x14ac:dyDescent="0.25">
      <c r="A118" s="10">
        <v>106</v>
      </c>
      <c r="B118" s="11" t="s">
        <v>162</v>
      </c>
      <c r="C118" s="11" t="s">
        <v>112</v>
      </c>
      <c r="D118" s="12">
        <v>36.979999999999997</v>
      </c>
      <c r="E118" s="12">
        <v>19.8</v>
      </c>
      <c r="F118" s="12">
        <v>56.78</v>
      </c>
      <c r="G118" s="12" t="s">
        <v>36</v>
      </c>
      <c r="H118" s="12">
        <v>74.78</v>
      </c>
      <c r="I118" s="12">
        <f t="shared" si="3"/>
        <v>3</v>
      </c>
      <c r="J118" s="13" t="str">
        <f t="shared" si="4"/>
        <v>B</v>
      </c>
      <c r="K118" s="14" t="str">
        <f t="shared" si="5"/>
        <v>Yaxshi</v>
      </c>
    </row>
    <row r="119" spans="1:11" ht="15.75" customHeight="1" x14ac:dyDescent="0.25">
      <c r="A119" s="10">
        <v>107</v>
      </c>
      <c r="B119" s="11" t="s">
        <v>163</v>
      </c>
      <c r="C119" s="11" t="s">
        <v>112</v>
      </c>
      <c r="D119" s="12">
        <v>34.57</v>
      </c>
      <c r="E119" s="12">
        <v>14.85</v>
      </c>
      <c r="F119" s="12">
        <v>49.42</v>
      </c>
      <c r="G119" s="12" t="s">
        <v>45</v>
      </c>
      <c r="H119" s="12">
        <v>69.42</v>
      </c>
      <c r="I119" s="12">
        <f t="shared" si="3"/>
        <v>2.5</v>
      </c>
      <c r="J119" s="13" t="str">
        <f t="shared" si="4"/>
        <v>C+</v>
      </c>
      <c r="K119" s="14" t="str">
        <f t="shared" si="5"/>
        <v>Qoniqarli</v>
      </c>
    </row>
    <row r="120" spans="1:11" ht="15.75" customHeight="1" x14ac:dyDescent="0.25">
      <c r="A120" s="10">
        <v>108</v>
      </c>
      <c r="B120" s="11" t="s">
        <v>164</v>
      </c>
      <c r="C120" s="11" t="s">
        <v>112</v>
      </c>
      <c r="D120" s="12">
        <v>37.79</v>
      </c>
      <c r="E120" s="12">
        <v>18.809999999999999</v>
      </c>
      <c r="F120" s="12">
        <v>56.6</v>
      </c>
      <c r="G120" s="12" t="s">
        <v>55</v>
      </c>
      <c r="H120" s="12">
        <v>82.6</v>
      </c>
      <c r="I120" s="12">
        <f t="shared" si="3"/>
        <v>3.5</v>
      </c>
      <c r="J120" s="13" t="str">
        <f t="shared" si="4"/>
        <v>B+</v>
      </c>
      <c r="K120" s="14" t="str">
        <f t="shared" si="5"/>
        <v>Yaxshi</v>
      </c>
    </row>
    <row r="121" spans="1:11" ht="15.75" customHeight="1" x14ac:dyDescent="0.25">
      <c r="A121" s="10">
        <v>109</v>
      </c>
      <c r="B121" s="11" t="s">
        <v>165</v>
      </c>
      <c r="C121" s="11" t="s">
        <v>112</v>
      </c>
      <c r="D121" s="12">
        <v>39.799999999999997</v>
      </c>
      <c r="E121" s="12">
        <v>19.8</v>
      </c>
      <c r="F121" s="12">
        <v>59.6</v>
      </c>
      <c r="G121" s="12" t="s">
        <v>36</v>
      </c>
      <c r="H121" s="12">
        <v>77.599999999999994</v>
      </c>
      <c r="I121" s="12">
        <f t="shared" si="3"/>
        <v>3</v>
      </c>
      <c r="J121" s="13" t="str">
        <f t="shared" si="4"/>
        <v>B</v>
      </c>
      <c r="K121" s="14" t="str">
        <f t="shared" si="5"/>
        <v>Yaxshi</v>
      </c>
    </row>
    <row r="122" spans="1:11" ht="15.75" customHeight="1" x14ac:dyDescent="0.25">
      <c r="A122" s="10">
        <v>110</v>
      </c>
      <c r="B122" s="11" t="s">
        <v>166</v>
      </c>
      <c r="C122" s="11" t="s">
        <v>112</v>
      </c>
      <c r="D122" s="12">
        <v>38.99</v>
      </c>
      <c r="E122" s="12">
        <v>17.82</v>
      </c>
      <c r="F122" s="12">
        <v>56.81</v>
      </c>
      <c r="G122" s="12" t="s">
        <v>167</v>
      </c>
      <c r="H122" s="12">
        <v>58.81</v>
      </c>
      <c r="I122" s="12">
        <f t="shared" si="3"/>
        <v>0</v>
      </c>
      <c r="J122" s="13" t="str">
        <f t="shared" si="4"/>
        <v>F</v>
      </c>
      <c r="K122" s="14" t="str">
        <f t="shared" si="5"/>
        <v>Qoniqarsiz</v>
      </c>
    </row>
    <row r="123" spans="1:11" ht="15.75" customHeight="1" x14ac:dyDescent="0.25">
      <c r="A123" s="10">
        <v>111</v>
      </c>
      <c r="B123" s="11" t="s">
        <v>168</v>
      </c>
      <c r="C123" s="11" t="s">
        <v>112</v>
      </c>
      <c r="D123" s="12">
        <v>38.590000000000003</v>
      </c>
      <c r="E123" s="12">
        <v>19.8</v>
      </c>
      <c r="F123" s="12">
        <v>58.39</v>
      </c>
      <c r="G123" s="12" t="s">
        <v>43</v>
      </c>
      <c r="H123" s="12">
        <v>72.39</v>
      </c>
      <c r="I123" s="12">
        <f t="shared" si="3"/>
        <v>3</v>
      </c>
      <c r="J123" s="13" t="str">
        <f t="shared" si="4"/>
        <v>B</v>
      </c>
      <c r="K123" s="14" t="str">
        <f t="shared" si="5"/>
        <v>Yaxshi</v>
      </c>
    </row>
    <row r="124" spans="1:11" ht="15.75" customHeight="1" x14ac:dyDescent="0.25">
      <c r="A124" s="10">
        <v>112</v>
      </c>
      <c r="B124" s="11" t="s">
        <v>169</v>
      </c>
      <c r="C124" s="11" t="s">
        <v>112</v>
      </c>
      <c r="D124" s="12">
        <v>34.57</v>
      </c>
      <c r="E124" s="12">
        <v>15.84</v>
      </c>
      <c r="F124" s="12">
        <v>50.41</v>
      </c>
      <c r="G124" s="12" t="s">
        <v>41</v>
      </c>
      <c r="H124" s="12">
        <v>62.41</v>
      </c>
      <c r="I124" s="12">
        <f t="shared" si="3"/>
        <v>2</v>
      </c>
      <c r="J124" s="13" t="str">
        <f t="shared" si="4"/>
        <v>C</v>
      </c>
      <c r="K124" s="14" t="str">
        <f t="shared" si="5"/>
        <v>Qoniqarli</v>
      </c>
    </row>
    <row r="125" spans="1:11" ht="15.75" customHeight="1" x14ac:dyDescent="0.25">
      <c r="A125" s="10">
        <v>113</v>
      </c>
      <c r="B125" s="11" t="s">
        <v>170</v>
      </c>
      <c r="C125" s="11" t="s">
        <v>112</v>
      </c>
      <c r="D125" s="12">
        <v>28.14</v>
      </c>
      <c r="E125" s="12">
        <v>16.829999999999998</v>
      </c>
      <c r="F125" s="12">
        <v>44.97</v>
      </c>
      <c r="G125" s="12" t="s">
        <v>36</v>
      </c>
      <c r="H125" s="12">
        <v>62.97</v>
      </c>
      <c r="I125" s="12">
        <f t="shared" si="3"/>
        <v>2</v>
      </c>
      <c r="J125" s="13" t="str">
        <f t="shared" si="4"/>
        <v>C</v>
      </c>
      <c r="K125" s="14" t="str">
        <f t="shared" si="5"/>
        <v>Qoniqarli</v>
      </c>
    </row>
    <row r="126" spans="1:11" ht="15.75" customHeight="1" x14ac:dyDescent="0.25">
      <c r="A126" s="10">
        <v>114</v>
      </c>
      <c r="B126" s="11" t="s">
        <v>171</v>
      </c>
      <c r="C126" s="11" t="s">
        <v>112</v>
      </c>
      <c r="D126" s="12">
        <v>32.56</v>
      </c>
      <c r="E126" s="12">
        <v>17.82</v>
      </c>
      <c r="F126" s="12">
        <v>50.38</v>
      </c>
      <c r="G126" s="12" t="s">
        <v>48</v>
      </c>
      <c r="H126" s="12">
        <v>50.38</v>
      </c>
      <c r="I126" s="12">
        <f t="shared" si="3"/>
        <v>0</v>
      </c>
      <c r="J126" s="13" t="str">
        <f t="shared" si="4"/>
        <v>F</v>
      </c>
      <c r="K126" s="14" t="str">
        <f t="shared" si="5"/>
        <v>Qoniqarsiz</v>
      </c>
    </row>
    <row r="127" spans="1:11" ht="15.75" customHeight="1" x14ac:dyDescent="0.25">
      <c r="A127" s="10">
        <v>115</v>
      </c>
      <c r="B127" s="11" t="s">
        <v>172</v>
      </c>
      <c r="C127" s="11" t="s">
        <v>112</v>
      </c>
      <c r="D127" s="12">
        <v>32.96</v>
      </c>
      <c r="E127" s="12">
        <v>13.86</v>
      </c>
      <c r="F127" s="12">
        <v>46.82</v>
      </c>
      <c r="G127" s="12" t="s">
        <v>84</v>
      </c>
      <c r="H127" s="12">
        <v>56.82</v>
      </c>
      <c r="I127" s="12">
        <f t="shared" si="3"/>
        <v>0</v>
      </c>
      <c r="J127" s="13" t="str">
        <f t="shared" si="4"/>
        <v>F</v>
      </c>
      <c r="K127" s="14" t="str">
        <f t="shared" si="5"/>
        <v>Qoniqarsiz</v>
      </c>
    </row>
    <row r="128" spans="1:11" ht="15.75" customHeight="1" x14ac:dyDescent="0.25">
      <c r="A128" s="10">
        <v>116</v>
      </c>
      <c r="B128" s="11" t="s">
        <v>173</v>
      </c>
      <c r="C128" s="11" t="s">
        <v>112</v>
      </c>
      <c r="D128" s="12" t="s">
        <v>48</v>
      </c>
      <c r="E128" s="12" t="s">
        <v>48</v>
      </c>
      <c r="F128" s="12" t="s">
        <v>48</v>
      </c>
      <c r="G128" s="12" t="s">
        <v>48</v>
      </c>
      <c r="H128" s="12" t="s">
        <v>48</v>
      </c>
      <c r="I128" s="12">
        <f t="shared" si="3"/>
        <v>0</v>
      </c>
      <c r="J128" s="13" t="str">
        <f t="shared" si="4"/>
        <v>F</v>
      </c>
      <c r="K128" s="14" t="str">
        <f t="shared" si="5"/>
        <v>Qoniqarsiz</v>
      </c>
    </row>
    <row r="129" spans="1:11" ht="15.75" customHeight="1" x14ac:dyDescent="0.25">
      <c r="A129" s="10">
        <v>117</v>
      </c>
      <c r="B129" s="11" t="s">
        <v>174</v>
      </c>
      <c r="C129" s="11" t="s">
        <v>175</v>
      </c>
      <c r="D129" s="12">
        <v>35.78</v>
      </c>
      <c r="E129" s="12">
        <v>9.9</v>
      </c>
      <c r="F129" s="12">
        <v>45.68</v>
      </c>
      <c r="G129" s="12" t="s">
        <v>48</v>
      </c>
      <c r="H129" s="12">
        <v>45.68</v>
      </c>
      <c r="I129" s="12">
        <f t="shared" si="3"/>
        <v>0</v>
      </c>
      <c r="J129" s="13" t="str">
        <f t="shared" si="4"/>
        <v>F</v>
      </c>
      <c r="K129" s="14" t="str">
        <f t="shared" si="5"/>
        <v>Qoniqarsiz</v>
      </c>
    </row>
    <row r="130" spans="1:11" ht="15.75" customHeight="1" x14ac:dyDescent="0.25">
      <c r="A130" s="10">
        <v>118</v>
      </c>
      <c r="B130" s="11" t="s">
        <v>176</v>
      </c>
      <c r="C130" s="11" t="s">
        <v>175</v>
      </c>
      <c r="D130" s="12">
        <v>28.54</v>
      </c>
      <c r="E130" s="12">
        <v>10.89</v>
      </c>
      <c r="F130" s="12">
        <v>39.43</v>
      </c>
      <c r="G130" s="12" t="s">
        <v>36</v>
      </c>
      <c r="H130" s="12">
        <v>57.43</v>
      </c>
      <c r="I130" s="12">
        <f t="shared" si="3"/>
        <v>0</v>
      </c>
      <c r="J130" s="13" t="str">
        <f t="shared" si="4"/>
        <v>F</v>
      </c>
      <c r="K130" s="14" t="str">
        <f t="shared" si="5"/>
        <v>Qoniqarsiz</v>
      </c>
    </row>
    <row r="131" spans="1:11" ht="15.75" customHeight="1" x14ac:dyDescent="0.25">
      <c r="A131" s="10">
        <v>119</v>
      </c>
      <c r="B131" s="11" t="s">
        <v>177</v>
      </c>
      <c r="C131" s="11" t="s">
        <v>175</v>
      </c>
      <c r="D131" s="12">
        <v>37.39</v>
      </c>
      <c r="E131" s="12">
        <v>16.829999999999998</v>
      </c>
      <c r="F131" s="12">
        <v>54.22</v>
      </c>
      <c r="G131" s="12" t="s">
        <v>72</v>
      </c>
      <c r="H131" s="12">
        <v>76.22</v>
      </c>
      <c r="I131" s="12">
        <f t="shared" si="3"/>
        <v>3</v>
      </c>
      <c r="J131" s="13" t="str">
        <f t="shared" si="4"/>
        <v>B</v>
      </c>
      <c r="K131" s="14" t="str">
        <f t="shared" si="5"/>
        <v>Yaxshi</v>
      </c>
    </row>
    <row r="132" spans="1:11" ht="15.75" customHeight="1" x14ac:dyDescent="0.25">
      <c r="A132" s="10">
        <v>120</v>
      </c>
      <c r="B132" s="11" t="s">
        <v>178</v>
      </c>
      <c r="C132" s="11" t="s">
        <v>175</v>
      </c>
      <c r="D132" s="12">
        <v>37.79</v>
      </c>
      <c r="E132" s="12">
        <v>19.8</v>
      </c>
      <c r="F132" s="12">
        <v>57.59</v>
      </c>
      <c r="G132" s="12" t="s">
        <v>179</v>
      </c>
      <c r="H132" s="12">
        <v>93.59</v>
      </c>
      <c r="I132" s="12">
        <f t="shared" si="3"/>
        <v>4</v>
      </c>
      <c r="J132" s="13" t="str">
        <f t="shared" si="4"/>
        <v>A</v>
      </c>
      <c r="K132" s="14" t="str">
        <f t="shared" si="5"/>
        <v>Yaxshi</v>
      </c>
    </row>
    <row r="133" spans="1:11" ht="15.75" customHeight="1" x14ac:dyDescent="0.25">
      <c r="A133" s="10">
        <v>121</v>
      </c>
      <c r="B133" s="11" t="s">
        <v>180</v>
      </c>
      <c r="C133" s="11" t="s">
        <v>175</v>
      </c>
      <c r="D133" s="12">
        <v>38.99</v>
      </c>
      <c r="E133" s="12">
        <v>16.829999999999998</v>
      </c>
      <c r="F133" s="12">
        <v>55.82</v>
      </c>
      <c r="G133" s="12" t="s">
        <v>38</v>
      </c>
      <c r="H133" s="12">
        <v>79.819999999999993</v>
      </c>
      <c r="I133" s="12">
        <f t="shared" si="3"/>
        <v>3</v>
      </c>
      <c r="J133" s="13" t="str">
        <f t="shared" si="4"/>
        <v>B</v>
      </c>
      <c r="K133" s="14" t="str">
        <f t="shared" si="5"/>
        <v>Yaxshi</v>
      </c>
    </row>
    <row r="134" spans="1:11" ht="15.75" customHeight="1" x14ac:dyDescent="0.25">
      <c r="A134" s="10">
        <v>122</v>
      </c>
      <c r="B134" s="11" t="s">
        <v>181</v>
      </c>
      <c r="C134" s="11" t="s">
        <v>175</v>
      </c>
      <c r="D134" s="12">
        <v>35.78</v>
      </c>
      <c r="E134" s="12">
        <v>17.82</v>
      </c>
      <c r="F134" s="12">
        <v>53.6</v>
      </c>
      <c r="G134" s="12" t="s">
        <v>41</v>
      </c>
      <c r="H134" s="12">
        <v>65.599999999999994</v>
      </c>
      <c r="I134" s="12">
        <f t="shared" si="3"/>
        <v>2.5</v>
      </c>
      <c r="J134" s="13" t="str">
        <f t="shared" si="4"/>
        <v>C+</v>
      </c>
      <c r="K134" s="14" t="str">
        <f t="shared" si="5"/>
        <v>Qoniqarli</v>
      </c>
    </row>
    <row r="135" spans="1:11" ht="15.75" customHeight="1" x14ac:dyDescent="0.25">
      <c r="A135" s="10">
        <v>123</v>
      </c>
      <c r="B135" s="11" t="s">
        <v>182</v>
      </c>
      <c r="C135" s="11" t="s">
        <v>175</v>
      </c>
      <c r="D135" s="12">
        <v>18.489999999999998</v>
      </c>
      <c r="E135" s="12">
        <v>13.86</v>
      </c>
      <c r="F135" s="12">
        <v>32.35</v>
      </c>
      <c r="G135" s="12" t="s">
        <v>45</v>
      </c>
      <c r="H135" s="12">
        <v>52.35</v>
      </c>
      <c r="I135" s="12">
        <f t="shared" si="3"/>
        <v>0</v>
      </c>
      <c r="J135" s="13" t="str">
        <f t="shared" si="4"/>
        <v>F</v>
      </c>
      <c r="K135" s="14" t="str">
        <f t="shared" si="5"/>
        <v>Qoniqarsiz</v>
      </c>
    </row>
    <row r="136" spans="1:11" ht="15.75" customHeight="1" x14ac:dyDescent="0.25">
      <c r="A136" s="10">
        <v>124</v>
      </c>
      <c r="B136" s="11" t="s">
        <v>183</v>
      </c>
      <c r="C136" s="11" t="s">
        <v>175</v>
      </c>
      <c r="D136" s="12" t="s">
        <v>48</v>
      </c>
      <c r="E136" s="12" t="s">
        <v>48</v>
      </c>
      <c r="F136" s="12" t="s">
        <v>48</v>
      </c>
      <c r="G136" s="12" t="s">
        <v>48</v>
      </c>
      <c r="H136" s="12" t="s">
        <v>48</v>
      </c>
      <c r="I136" s="12">
        <f t="shared" si="3"/>
        <v>0</v>
      </c>
      <c r="J136" s="13" t="str">
        <f t="shared" si="4"/>
        <v>F</v>
      </c>
      <c r="K136" s="14" t="str">
        <f t="shared" si="5"/>
        <v>Qoniqarsiz</v>
      </c>
    </row>
    <row r="137" spans="1:11" ht="15.75" customHeight="1" x14ac:dyDescent="0.25">
      <c r="A137" s="10">
        <v>125</v>
      </c>
      <c r="B137" s="11" t="s">
        <v>184</v>
      </c>
      <c r="C137" s="11" t="s">
        <v>175</v>
      </c>
      <c r="D137" s="12">
        <v>36.18</v>
      </c>
      <c r="E137" s="12">
        <v>17.82</v>
      </c>
      <c r="F137" s="12" t="s">
        <v>91</v>
      </c>
      <c r="G137" s="12" t="s">
        <v>45</v>
      </c>
      <c r="H137" s="12" t="s">
        <v>185</v>
      </c>
      <c r="I137" s="12">
        <f t="shared" si="3"/>
        <v>3</v>
      </c>
      <c r="J137" s="13" t="str">
        <f t="shared" si="4"/>
        <v>B</v>
      </c>
      <c r="K137" s="14" t="str">
        <f t="shared" si="5"/>
        <v>Yaxshi</v>
      </c>
    </row>
    <row r="138" spans="1:11" ht="15.75" customHeight="1" x14ac:dyDescent="0.25">
      <c r="A138" s="10">
        <v>126</v>
      </c>
      <c r="B138" s="11" t="s">
        <v>186</v>
      </c>
      <c r="C138" s="11" t="s">
        <v>175</v>
      </c>
      <c r="D138" s="12">
        <v>30.55</v>
      </c>
      <c r="E138" s="12">
        <v>16.829999999999998</v>
      </c>
      <c r="F138" s="12">
        <v>47.38</v>
      </c>
      <c r="G138" s="12" t="s">
        <v>55</v>
      </c>
      <c r="H138" s="12">
        <v>73.38</v>
      </c>
      <c r="I138" s="12">
        <f t="shared" si="3"/>
        <v>3</v>
      </c>
      <c r="J138" s="13" t="str">
        <f t="shared" si="4"/>
        <v>B</v>
      </c>
      <c r="K138" s="14" t="str">
        <f t="shared" si="5"/>
        <v>Yaxshi</v>
      </c>
    </row>
    <row r="139" spans="1:11" ht="15.75" customHeight="1" x14ac:dyDescent="0.25">
      <c r="A139" s="10">
        <v>127</v>
      </c>
      <c r="B139" s="11" t="s">
        <v>187</v>
      </c>
      <c r="C139" s="11" t="s">
        <v>175</v>
      </c>
      <c r="D139" s="12">
        <v>2.41</v>
      </c>
      <c r="E139" s="12">
        <v>13.86</v>
      </c>
      <c r="F139" s="12">
        <v>16.27</v>
      </c>
      <c r="G139" s="12" t="s">
        <v>45</v>
      </c>
      <c r="H139" s="12">
        <v>36.270000000000003</v>
      </c>
      <c r="I139" s="12">
        <f t="shared" si="3"/>
        <v>0</v>
      </c>
      <c r="J139" s="13" t="str">
        <f t="shared" si="4"/>
        <v>F</v>
      </c>
      <c r="K139" s="14" t="str">
        <f t="shared" si="5"/>
        <v>Qoniqarsiz</v>
      </c>
    </row>
    <row r="140" spans="1:11" ht="15.75" customHeight="1" x14ac:dyDescent="0.25">
      <c r="A140" s="10">
        <v>128</v>
      </c>
      <c r="B140" s="11" t="s">
        <v>188</v>
      </c>
      <c r="C140" s="11" t="s">
        <v>175</v>
      </c>
      <c r="D140" s="12">
        <v>37.39</v>
      </c>
      <c r="E140" s="12">
        <v>16.829999999999998</v>
      </c>
      <c r="F140" s="12">
        <v>54.22</v>
      </c>
      <c r="G140" s="12" t="s">
        <v>58</v>
      </c>
      <c r="H140" s="12">
        <v>82.22</v>
      </c>
      <c r="I140" s="12">
        <f t="shared" si="3"/>
        <v>3.5</v>
      </c>
      <c r="J140" s="13" t="str">
        <f t="shared" si="4"/>
        <v>B+</v>
      </c>
      <c r="K140" s="14" t="str">
        <f t="shared" si="5"/>
        <v>Yaxshi</v>
      </c>
    </row>
    <row r="141" spans="1:11" ht="15.75" customHeight="1" x14ac:dyDescent="0.25">
      <c r="A141" s="10">
        <v>129</v>
      </c>
      <c r="B141" s="11" t="s">
        <v>189</v>
      </c>
      <c r="C141" s="11" t="s">
        <v>175</v>
      </c>
      <c r="D141" s="12">
        <v>33.369999999999997</v>
      </c>
      <c r="E141" s="12">
        <v>17.82</v>
      </c>
      <c r="F141" s="12">
        <v>51.19</v>
      </c>
      <c r="G141" s="12" t="s">
        <v>55</v>
      </c>
      <c r="H141" s="12">
        <v>77.19</v>
      </c>
      <c r="I141" s="12">
        <f t="shared" ref="I141:I204" si="6">IF(H141*1&gt;=95,4.5,IF(H141*1&gt;=90,4,IF(H141*1&gt;=80,3.5,IF(H141*1&gt;=70,3,IF(H141*1&gt;=65,2.5,IF(H141*1&gt;=60,2,0))))))</f>
        <v>3</v>
      </c>
      <c r="J141" s="13" t="str">
        <f t="shared" ref="J141:J204" si="7">IF(H141*1&gt;=95,"A+",IF(H141*1&gt;=90,"A",IF(H141*1&gt;=80,"B+",IF(H141*1&gt;=70,"B",IF(H141*1&gt;=65,"C+",IF(H141*1&gt;=60,"C","F"))))))</f>
        <v>B</v>
      </c>
      <c r="K141" s="14" t="str">
        <f t="shared" ref="K141:K204" si="8">IF(H141*1&gt;=70,"Yaxshi",IF(H141*1&gt;=60,"Qoniqarli","Qoniqarsiz"))</f>
        <v>Yaxshi</v>
      </c>
    </row>
    <row r="142" spans="1:11" ht="15.75" customHeight="1" x14ac:dyDescent="0.25">
      <c r="A142" s="10">
        <v>130</v>
      </c>
      <c r="B142" s="11" t="s">
        <v>190</v>
      </c>
      <c r="C142" s="11" t="s">
        <v>175</v>
      </c>
      <c r="D142" s="12">
        <v>35.380000000000003</v>
      </c>
      <c r="E142" s="12">
        <v>14.85</v>
      </c>
      <c r="F142" s="12">
        <v>50.23</v>
      </c>
      <c r="G142" s="12" t="s">
        <v>45</v>
      </c>
      <c r="H142" s="12">
        <v>70.23</v>
      </c>
      <c r="I142" s="12">
        <f t="shared" si="6"/>
        <v>3</v>
      </c>
      <c r="J142" s="13" t="str">
        <f t="shared" si="7"/>
        <v>B</v>
      </c>
      <c r="K142" s="14" t="str">
        <f t="shared" si="8"/>
        <v>Yaxshi</v>
      </c>
    </row>
    <row r="143" spans="1:11" ht="15.75" customHeight="1" x14ac:dyDescent="0.25">
      <c r="A143" s="10">
        <v>131</v>
      </c>
      <c r="B143" s="11" t="s">
        <v>190</v>
      </c>
      <c r="C143" s="11" t="s">
        <v>175</v>
      </c>
      <c r="D143" s="12">
        <v>0</v>
      </c>
      <c r="E143" s="12">
        <v>0</v>
      </c>
      <c r="F143" s="12" t="s">
        <v>48</v>
      </c>
      <c r="G143" s="12">
        <v>0</v>
      </c>
      <c r="H143" s="12">
        <v>0</v>
      </c>
      <c r="I143" s="12">
        <f t="shared" si="6"/>
        <v>0</v>
      </c>
      <c r="J143" s="13" t="str">
        <f t="shared" si="7"/>
        <v>F</v>
      </c>
      <c r="K143" s="14" t="str">
        <f t="shared" si="8"/>
        <v>Qoniqarsiz</v>
      </c>
    </row>
    <row r="144" spans="1:11" ht="15.75" customHeight="1" x14ac:dyDescent="0.25">
      <c r="A144" s="10">
        <v>132</v>
      </c>
      <c r="B144" s="11" t="s">
        <v>191</v>
      </c>
      <c r="C144" s="11" t="s">
        <v>175</v>
      </c>
      <c r="D144" s="12">
        <v>35.380000000000003</v>
      </c>
      <c r="E144" s="12">
        <v>16.829999999999998</v>
      </c>
      <c r="F144" s="12">
        <v>52.21</v>
      </c>
      <c r="G144" s="12" t="s">
        <v>66</v>
      </c>
      <c r="H144" s="12">
        <v>90.21</v>
      </c>
      <c r="I144" s="12">
        <f t="shared" si="6"/>
        <v>4</v>
      </c>
      <c r="J144" s="13" t="str">
        <f t="shared" si="7"/>
        <v>A</v>
      </c>
      <c r="K144" s="14" t="str">
        <f t="shared" si="8"/>
        <v>Yaxshi</v>
      </c>
    </row>
    <row r="145" spans="1:11" ht="15.75" customHeight="1" x14ac:dyDescent="0.25">
      <c r="A145" s="10">
        <v>133</v>
      </c>
      <c r="B145" s="11" t="s">
        <v>192</v>
      </c>
      <c r="C145" s="11" t="s">
        <v>175</v>
      </c>
      <c r="D145" s="12">
        <v>32.96</v>
      </c>
      <c r="E145" s="12">
        <v>16.829999999999998</v>
      </c>
      <c r="F145" s="12">
        <v>49.79</v>
      </c>
      <c r="G145" s="12" t="s">
        <v>43</v>
      </c>
      <c r="H145" s="12">
        <v>63.79</v>
      </c>
      <c r="I145" s="12">
        <f t="shared" si="6"/>
        <v>2</v>
      </c>
      <c r="J145" s="13" t="str">
        <f t="shared" si="7"/>
        <v>C</v>
      </c>
      <c r="K145" s="14" t="str">
        <f t="shared" si="8"/>
        <v>Qoniqarli</v>
      </c>
    </row>
    <row r="146" spans="1:11" ht="15.75" customHeight="1" x14ac:dyDescent="0.25">
      <c r="A146" s="10">
        <v>134</v>
      </c>
      <c r="B146" s="11" t="s">
        <v>193</v>
      </c>
      <c r="C146" s="11" t="s">
        <v>175</v>
      </c>
      <c r="D146" s="12">
        <v>38.19</v>
      </c>
      <c r="E146" s="12">
        <v>15.84</v>
      </c>
      <c r="F146" s="12">
        <v>54.03</v>
      </c>
      <c r="G146" s="12" t="s">
        <v>48</v>
      </c>
      <c r="H146" s="12">
        <v>54.03</v>
      </c>
      <c r="I146" s="12">
        <f t="shared" si="6"/>
        <v>0</v>
      </c>
      <c r="J146" s="13" t="str">
        <f t="shared" si="7"/>
        <v>F</v>
      </c>
      <c r="K146" s="14" t="str">
        <f t="shared" si="8"/>
        <v>Qoniqarsiz</v>
      </c>
    </row>
    <row r="147" spans="1:11" ht="15.75" customHeight="1" x14ac:dyDescent="0.25">
      <c r="A147" s="10">
        <v>135</v>
      </c>
      <c r="B147" s="11" t="s">
        <v>194</v>
      </c>
      <c r="C147" s="11" t="s">
        <v>175</v>
      </c>
      <c r="D147" s="12">
        <v>15.68</v>
      </c>
      <c r="E147" s="12">
        <v>17.82</v>
      </c>
      <c r="F147" s="12">
        <v>33.5</v>
      </c>
      <c r="G147" s="12" t="s">
        <v>48</v>
      </c>
      <c r="H147" s="12">
        <v>33.5</v>
      </c>
      <c r="I147" s="12">
        <f t="shared" si="6"/>
        <v>0</v>
      </c>
      <c r="J147" s="13" t="str">
        <f t="shared" si="7"/>
        <v>F</v>
      </c>
      <c r="K147" s="14" t="str">
        <f t="shared" si="8"/>
        <v>Qoniqarsiz</v>
      </c>
    </row>
    <row r="148" spans="1:11" ht="15.75" customHeight="1" x14ac:dyDescent="0.25">
      <c r="A148" s="10">
        <v>136</v>
      </c>
      <c r="B148" s="11" t="s">
        <v>195</v>
      </c>
      <c r="C148" s="11" t="s">
        <v>175</v>
      </c>
      <c r="D148" s="12">
        <v>31.36</v>
      </c>
      <c r="E148" s="12">
        <v>18.809999999999999</v>
      </c>
      <c r="F148" s="12">
        <v>50.17</v>
      </c>
      <c r="G148" s="12" t="s">
        <v>64</v>
      </c>
      <c r="H148" s="12">
        <v>66.17</v>
      </c>
      <c r="I148" s="12">
        <f t="shared" si="6"/>
        <v>2.5</v>
      </c>
      <c r="J148" s="13" t="str">
        <f t="shared" si="7"/>
        <v>C+</v>
      </c>
      <c r="K148" s="14" t="str">
        <f t="shared" si="8"/>
        <v>Qoniqarli</v>
      </c>
    </row>
    <row r="149" spans="1:11" ht="15.75" customHeight="1" x14ac:dyDescent="0.25">
      <c r="A149" s="10">
        <v>137</v>
      </c>
      <c r="B149" s="11" t="s">
        <v>196</v>
      </c>
      <c r="C149" s="11" t="s">
        <v>175</v>
      </c>
      <c r="D149" s="12">
        <v>39.4</v>
      </c>
      <c r="E149" s="12">
        <v>16.829999999999998</v>
      </c>
      <c r="F149" s="12">
        <v>56.23</v>
      </c>
      <c r="G149" s="12" t="s">
        <v>41</v>
      </c>
      <c r="H149" s="12">
        <v>68.23</v>
      </c>
      <c r="I149" s="12">
        <f t="shared" si="6"/>
        <v>2.5</v>
      </c>
      <c r="J149" s="13" t="str">
        <f t="shared" si="7"/>
        <v>C+</v>
      </c>
      <c r="K149" s="14" t="str">
        <f t="shared" si="8"/>
        <v>Qoniqarli</v>
      </c>
    </row>
    <row r="150" spans="1:11" ht="15.75" customHeight="1" x14ac:dyDescent="0.25">
      <c r="A150" s="10">
        <v>138</v>
      </c>
      <c r="B150" s="11" t="s">
        <v>197</v>
      </c>
      <c r="C150" s="11" t="s">
        <v>175</v>
      </c>
      <c r="D150" s="12">
        <v>35.78</v>
      </c>
      <c r="E150" s="12">
        <v>16.829999999999998</v>
      </c>
      <c r="F150" s="12">
        <v>52.61</v>
      </c>
      <c r="G150" s="12" t="s">
        <v>72</v>
      </c>
      <c r="H150" s="12">
        <v>74.61</v>
      </c>
      <c r="I150" s="12">
        <f t="shared" si="6"/>
        <v>3</v>
      </c>
      <c r="J150" s="13" t="str">
        <f t="shared" si="7"/>
        <v>B</v>
      </c>
      <c r="K150" s="14" t="str">
        <f t="shared" si="8"/>
        <v>Yaxshi</v>
      </c>
    </row>
    <row r="151" spans="1:11" ht="15.75" customHeight="1" x14ac:dyDescent="0.25">
      <c r="A151" s="10">
        <v>139</v>
      </c>
      <c r="B151" s="11" t="s">
        <v>198</v>
      </c>
      <c r="C151" s="11" t="s">
        <v>175</v>
      </c>
      <c r="D151" s="12">
        <v>40.200000000000003</v>
      </c>
      <c r="E151" s="12">
        <v>19.8</v>
      </c>
      <c r="F151" s="12" t="s">
        <v>62</v>
      </c>
      <c r="G151" s="12" t="s">
        <v>104</v>
      </c>
      <c r="H151" s="12" t="s">
        <v>199</v>
      </c>
      <c r="I151" s="12">
        <f t="shared" si="6"/>
        <v>4</v>
      </c>
      <c r="J151" s="13" t="str">
        <f t="shared" si="7"/>
        <v>A</v>
      </c>
      <c r="K151" s="14" t="str">
        <f t="shared" si="8"/>
        <v>Yaxshi</v>
      </c>
    </row>
    <row r="152" spans="1:11" ht="15.75" customHeight="1" x14ac:dyDescent="0.25">
      <c r="A152" s="10">
        <v>140</v>
      </c>
      <c r="B152" s="11" t="s">
        <v>200</v>
      </c>
      <c r="C152" s="11" t="s">
        <v>175</v>
      </c>
      <c r="D152" s="12" t="s">
        <v>48</v>
      </c>
      <c r="E152" s="12">
        <v>0</v>
      </c>
      <c r="F152" s="12" t="s">
        <v>48</v>
      </c>
      <c r="G152" s="12" t="s">
        <v>48</v>
      </c>
      <c r="H152" s="12" t="s">
        <v>48</v>
      </c>
      <c r="I152" s="12">
        <f t="shared" si="6"/>
        <v>0</v>
      </c>
      <c r="J152" s="13" t="str">
        <f t="shared" si="7"/>
        <v>F</v>
      </c>
      <c r="K152" s="14" t="str">
        <f t="shared" si="8"/>
        <v>Qoniqarsiz</v>
      </c>
    </row>
    <row r="153" spans="1:11" ht="15.75" customHeight="1" x14ac:dyDescent="0.25">
      <c r="A153" s="10">
        <v>141</v>
      </c>
      <c r="B153" s="11" t="s">
        <v>201</v>
      </c>
      <c r="C153" s="11" t="s">
        <v>175</v>
      </c>
      <c r="D153" s="12">
        <v>37.79</v>
      </c>
      <c r="E153" s="12">
        <v>16.829999999999998</v>
      </c>
      <c r="F153" s="12">
        <v>54.62</v>
      </c>
      <c r="G153" s="12" t="s">
        <v>104</v>
      </c>
      <c r="H153" s="12">
        <v>84.62</v>
      </c>
      <c r="I153" s="12">
        <f t="shared" si="6"/>
        <v>3.5</v>
      </c>
      <c r="J153" s="13" t="str">
        <f t="shared" si="7"/>
        <v>B+</v>
      </c>
      <c r="K153" s="14" t="str">
        <f t="shared" si="8"/>
        <v>Yaxshi</v>
      </c>
    </row>
    <row r="154" spans="1:11" ht="15.75" customHeight="1" x14ac:dyDescent="0.25">
      <c r="A154" s="10">
        <v>142</v>
      </c>
      <c r="B154" s="11" t="s">
        <v>202</v>
      </c>
      <c r="C154" s="11" t="s">
        <v>175</v>
      </c>
      <c r="D154" s="12">
        <v>29.75</v>
      </c>
      <c r="E154" s="12">
        <v>14.85</v>
      </c>
      <c r="F154" s="12">
        <v>44.6</v>
      </c>
      <c r="G154" s="12" t="s">
        <v>38</v>
      </c>
      <c r="H154" s="12">
        <v>68.599999999999994</v>
      </c>
      <c r="I154" s="12">
        <f t="shared" si="6"/>
        <v>2.5</v>
      </c>
      <c r="J154" s="13" t="str">
        <f t="shared" si="7"/>
        <v>C+</v>
      </c>
      <c r="K154" s="14" t="str">
        <f t="shared" si="8"/>
        <v>Qoniqarli</v>
      </c>
    </row>
    <row r="155" spans="1:11" ht="15.75" customHeight="1" x14ac:dyDescent="0.25">
      <c r="A155" s="10">
        <v>143</v>
      </c>
      <c r="B155" s="11" t="s">
        <v>203</v>
      </c>
      <c r="C155" s="11" t="s">
        <v>175</v>
      </c>
      <c r="D155" s="12" t="s">
        <v>48</v>
      </c>
      <c r="E155" s="12">
        <v>14.85</v>
      </c>
      <c r="F155" s="12">
        <v>14.85</v>
      </c>
      <c r="G155" s="12" t="s">
        <v>60</v>
      </c>
      <c r="H155" s="12">
        <v>46.85</v>
      </c>
      <c r="I155" s="12">
        <f t="shared" si="6"/>
        <v>0</v>
      </c>
      <c r="J155" s="13" t="str">
        <f t="shared" si="7"/>
        <v>F</v>
      </c>
      <c r="K155" s="14" t="str">
        <f t="shared" si="8"/>
        <v>Qoniqarsiz</v>
      </c>
    </row>
    <row r="156" spans="1:11" ht="15.75" customHeight="1" x14ac:dyDescent="0.25">
      <c r="A156" s="10">
        <v>144</v>
      </c>
      <c r="B156" s="11" t="s">
        <v>204</v>
      </c>
      <c r="C156" s="11" t="s">
        <v>175</v>
      </c>
      <c r="D156" s="12">
        <v>36.58</v>
      </c>
      <c r="E156" s="12">
        <v>15.84</v>
      </c>
      <c r="F156" s="12">
        <v>52.42</v>
      </c>
      <c r="G156" s="12" t="s">
        <v>43</v>
      </c>
      <c r="H156" s="12">
        <v>66.42</v>
      </c>
      <c r="I156" s="12">
        <f t="shared" si="6"/>
        <v>2.5</v>
      </c>
      <c r="J156" s="13" t="str">
        <f t="shared" si="7"/>
        <v>C+</v>
      </c>
      <c r="K156" s="14" t="str">
        <f t="shared" si="8"/>
        <v>Qoniqarli</v>
      </c>
    </row>
    <row r="157" spans="1:11" ht="15.75" customHeight="1" x14ac:dyDescent="0.25">
      <c r="A157" s="10">
        <v>145</v>
      </c>
      <c r="B157" s="11" t="s">
        <v>205</v>
      </c>
      <c r="C157" s="11" t="s">
        <v>175</v>
      </c>
      <c r="D157" s="12">
        <v>34.57</v>
      </c>
      <c r="E157" s="12">
        <v>19.8</v>
      </c>
      <c r="F157" s="12">
        <v>54.37</v>
      </c>
      <c r="G157" s="12" t="s">
        <v>104</v>
      </c>
      <c r="H157" s="12">
        <v>84.37</v>
      </c>
      <c r="I157" s="12">
        <f t="shared" si="6"/>
        <v>3.5</v>
      </c>
      <c r="J157" s="13" t="str">
        <f t="shared" si="7"/>
        <v>B+</v>
      </c>
      <c r="K157" s="14" t="str">
        <f t="shared" si="8"/>
        <v>Yaxshi</v>
      </c>
    </row>
    <row r="158" spans="1:11" ht="15.75" customHeight="1" x14ac:dyDescent="0.25">
      <c r="A158" s="10">
        <v>146</v>
      </c>
      <c r="B158" s="11" t="s">
        <v>206</v>
      </c>
      <c r="C158" s="11" t="s">
        <v>175</v>
      </c>
      <c r="D158" s="12">
        <v>28.94</v>
      </c>
      <c r="E158" s="12">
        <v>16.829999999999998</v>
      </c>
      <c r="F158" s="12">
        <v>45.77</v>
      </c>
      <c r="G158" s="12" t="s">
        <v>72</v>
      </c>
      <c r="H158" s="12">
        <v>67.77</v>
      </c>
      <c r="I158" s="12">
        <f t="shared" si="6"/>
        <v>2.5</v>
      </c>
      <c r="J158" s="13" t="str">
        <f t="shared" si="7"/>
        <v>C+</v>
      </c>
      <c r="K158" s="14" t="str">
        <f t="shared" si="8"/>
        <v>Qoniqarli</v>
      </c>
    </row>
    <row r="159" spans="1:11" ht="15.75" customHeight="1" x14ac:dyDescent="0.25">
      <c r="A159" s="10">
        <v>147</v>
      </c>
      <c r="B159" s="11" t="s">
        <v>207</v>
      </c>
      <c r="C159" s="11" t="s">
        <v>175</v>
      </c>
      <c r="D159" s="12">
        <v>34.17</v>
      </c>
      <c r="E159" s="12">
        <v>14.85</v>
      </c>
      <c r="F159" s="12">
        <v>49.02</v>
      </c>
      <c r="G159" s="12" t="s">
        <v>55</v>
      </c>
      <c r="H159" s="12">
        <v>75.02</v>
      </c>
      <c r="I159" s="12">
        <f t="shared" si="6"/>
        <v>3</v>
      </c>
      <c r="J159" s="13" t="str">
        <f t="shared" si="7"/>
        <v>B</v>
      </c>
      <c r="K159" s="14" t="str">
        <f t="shared" si="8"/>
        <v>Yaxshi</v>
      </c>
    </row>
    <row r="160" spans="1:11" ht="15.75" customHeight="1" x14ac:dyDescent="0.25">
      <c r="A160" s="10">
        <v>148</v>
      </c>
      <c r="B160" s="11" t="s">
        <v>208</v>
      </c>
      <c r="C160" s="11" t="s">
        <v>175</v>
      </c>
      <c r="D160" s="12">
        <v>35.78</v>
      </c>
      <c r="E160" s="12">
        <v>15.84</v>
      </c>
      <c r="F160" s="12">
        <v>51.62</v>
      </c>
      <c r="G160" s="12" t="s">
        <v>60</v>
      </c>
      <c r="H160" s="12">
        <v>83.62</v>
      </c>
      <c r="I160" s="12">
        <f t="shared" si="6"/>
        <v>3.5</v>
      </c>
      <c r="J160" s="13" t="str">
        <f t="shared" si="7"/>
        <v>B+</v>
      </c>
      <c r="K160" s="14" t="str">
        <f t="shared" si="8"/>
        <v>Yaxshi</v>
      </c>
    </row>
    <row r="161" spans="1:11" ht="15.75" customHeight="1" x14ac:dyDescent="0.25">
      <c r="A161" s="10">
        <v>149</v>
      </c>
      <c r="B161" s="11" t="s">
        <v>209</v>
      </c>
      <c r="C161" s="11" t="s">
        <v>175</v>
      </c>
      <c r="D161" s="12">
        <v>38.19</v>
      </c>
      <c r="E161" s="12">
        <v>15.84</v>
      </c>
      <c r="F161" s="12">
        <v>54.03</v>
      </c>
      <c r="G161" s="12" t="s">
        <v>84</v>
      </c>
      <c r="H161" s="12">
        <v>64.03</v>
      </c>
      <c r="I161" s="12">
        <f t="shared" si="6"/>
        <v>2</v>
      </c>
      <c r="J161" s="13" t="str">
        <f t="shared" si="7"/>
        <v>C</v>
      </c>
      <c r="K161" s="14" t="str">
        <f t="shared" si="8"/>
        <v>Qoniqarli</v>
      </c>
    </row>
    <row r="162" spans="1:11" ht="15.75" customHeight="1" x14ac:dyDescent="0.25">
      <c r="A162" s="10">
        <v>150</v>
      </c>
      <c r="B162" s="11" t="s">
        <v>210</v>
      </c>
      <c r="C162" s="11" t="s">
        <v>175</v>
      </c>
      <c r="D162" s="12">
        <v>35.380000000000003</v>
      </c>
      <c r="E162" s="12">
        <v>13.86</v>
      </c>
      <c r="F162" s="12">
        <v>49.24</v>
      </c>
      <c r="G162" s="12" t="s">
        <v>38</v>
      </c>
      <c r="H162" s="12">
        <v>73.239999999999995</v>
      </c>
      <c r="I162" s="12">
        <f t="shared" si="6"/>
        <v>3</v>
      </c>
      <c r="J162" s="13" t="str">
        <f t="shared" si="7"/>
        <v>B</v>
      </c>
      <c r="K162" s="14" t="str">
        <f t="shared" si="8"/>
        <v>Yaxshi</v>
      </c>
    </row>
    <row r="163" spans="1:11" ht="15.75" customHeight="1" x14ac:dyDescent="0.25">
      <c r="A163" s="10">
        <v>151</v>
      </c>
      <c r="B163" s="11" t="s">
        <v>211</v>
      </c>
      <c r="C163" s="11" t="s">
        <v>175</v>
      </c>
      <c r="D163" s="12">
        <v>31.36</v>
      </c>
      <c r="E163" s="12">
        <v>16.829999999999998</v>
      </c>
      <c r="F163" s="12">
        <v>48.19</v>
      </c>
      <c r="G163" s="12" t="s">
        <v>84</v>
      </c>
      <c r="H163" s="12">
        <v>58.19</v>
      </c>
      <c r="I163" s="12">
        <f t="shared" si="6"/>
        <v>0</v>
      </c>
      <c r="J163" s="13" t="str">
        <f t="shared" si="7"/>
        <v>F</v>
      </c>
      <c r="K163" s="14" t="str">
        <f t="shared" si="8"/>
        <v>Qoniqarsiz</v>
      </c>
    </row>
    <row r="164" spans="1:11" ht="15.75" customHeight="1" x14ac:dyDescent="0.25">
      <c r="A164" s="10">
        <v>152</v>
      </c>
      <c r="B164" s="11" t="s">
        <v>212</v>
      </c>
      <c r="C164" s="11" t="s">
        <v>175</v>
      </c>
      <c r="D164" s="12">
        <v>34.57</v>
      </c>
      <c r="E164" s="12">
        <v>19.8</v>
      </c>
      <c r="F164" s="12">
        <v>54.37</v>
      </c>
      <c r="G164" s="12" t="s">
        <v>45</v>
      </c>
      <c r="H164" s="12">
        <v>74.37</v>
      </c>
      <c r="I164" s="12">
        <f t="shared" si="6"/>
        <v>3</v>
      </c>
      <c r="J164" s="13" t="str">
        <f t="shared" si="7"/>
        <v>B</v>
      </c>
      <c r="K164" s="14" t="str">
        <f t="shared" si="8"/>
        <v>Yaxshi</v>
      </c>
    </row>
    <row r="165" spans="1:11" ht="15.75" customHeight="1" x14ac:dyDescent="0.25">
      <c r="A165" s="10">
        <v>153</v>
      </c>
      <c r="B165" s="11" t="s">
        <v>213</v>
      </c>
      <c r="C165" s="11" t="s">
        <v>175</v>
      </c>
      <c r="D165" s="12">
        <v>37.39</v>
      </c>
      <c r="E165" s="12">
        <v>19.8</v>
      </c>
      <c r="F165" s="12">
        <v>57.19</v>
      </c>
      <c r="G165" s="12" t="s">
        <v>41</v>
      </c>
      <c r="H165" s="12">
        <v>69.19</v>
      </c>
      <c r="I165" s="12">
        <f t="shared" si="6"/>
        <v>2.5</v>
      </c>
      <c r="J165" s="13" t="str">
        <f t="shared" si="7"/>
        <v>C+</v>
      </c>
      <c r="K165" s="14" t="str">
        <f t="shared" si="8"/>
        <v>Qoniqarli</v>
      </c>
    </row>
    <row r="166" spans="1:11" ht="15.75" customHeight="1" x14ac:dyDescent="0.25">
      <c r="A166" s="10">
        <v>154</v>
      </c>
      <c r="B166" s="11" t="s">
        <v>214</v>
      </c>
      <c r="C166" s="11" t="s">
        <v>175</v>
      </c>
      <c r="D166" s="12">
        <v>31.36</v>
      </c>
      <c r="E166" s="12">
        <v>14.85</v>
      </c>
      <c r="F166" s="12">
        <v>46.21</v>
      </c>
      <c r="G166" s="12" t="s">
        <v>41</v>
      </c>
      <c r="H166" s="12">
        <v>58.21</v>
      </c>
      <c r="I166" s="12">
        <f t="shared" si="6"/>
        <v>0</v>
      </c>
      <c r="J166" s="13" t="str">
        <f t="shared" si="7"/>
        <v>F</v>
      </c>
      <c r="K166" s="14" t="str">
        <f t="shared" si="8"/>
        <v>Qoniqarsiz</v>
      </c>
    </row>
    <row r="167" spans="1:11" ht="15.75" customHeight="1" x14ac:dyDescent="0.25">
      <c r="A167" s="10">
        <v>155</v>
      </c>
      <c r="B167" s="11" t="s">
        <v>215</v>
      </c>
      <c r="C167" s="11" t="s">
        <v>175</v>
      </c>
      <c r="D167" s="12">
        <v>39.799999999999997</v>
      </c>
      <c r="E167" s="12">
        <v>16.829999999999998</v>
      </c>
      <c r="F167" s="12">
        <v>56.63</v>
      </c>
      <c r="G167" s="12" t="s">
        <v>64</v>
      </c>
      <c r="H167" s="12">
        <v>72.63</v>
      </c>
      <c r="I167" s="12">
        <f t="shared" si="6"/>
        <v>3</v>
      </c>
      <c r="J167" s="13" t="str">
        <f t="shared" si="7"/>
        <v>B</v>
      </c>
      <c r="K167" s="14" t="str">
        <f t="shared" si="8"/>
        <v>Yaxshi</v>
      </c>
    </row>
    <row r="168" spans="1:11" ht="15.75" customHeight="1" x14ac:dyDescent="0.25">
      <c r="A168" s="10">
        <v>156</v>
      </c>
      <c r="B168" s="11" t="s">
        <v>216</v>
      </c>
      <c r="C168" s="11" t="s">
        <v>175</v>
      </c>
      <c r="D168" s="12">
        <v>17.690000000000001</v>
      </c>
      <c r="E168" s="12">
        <v>17.82</v>
      </c>
      <c r="F168" s="12">
        <v>35.51</v>
      </c>
      <c r="G168" s="12" t="s">
        <v>72</v>
      </c>
      <c r="H168" s="12">
        <v>57.51</v>
      </c>
      <c r="I168" s="12">
        <f t="shared" si="6"/>
        <v>0</v>
      </c>
      <c r="J168" s="13" t="str">
        <f t="shared" si="7"/>
        <v>F</v>
      </c>
      <c r="K168" s="14" t="str">
        <f t="shared" si="8"/>
        <v>Qoniqarsiz</v>
      </c>
    </row>
    <row r="169" spans="1:11" ht="15.75" customHeight="1" x14ac:dyDescent="0.25">
      <c r="A169" s="10">
        <v>157</v>
      </c>
      <c r="B169" s="11" t="s">
        <v>217</v>
      </c>
      <c r="C169" s="11" t="s">
        <v>175</v>
      </c>
      <c r="D169" s="12">
        <v>36.58</v>
      </c>
      <c r="E169" s="12">
        <v>13.86</v>
      </c>
      <c r="F169" s="12">
        <v>50.44</v>
      </c>
      <c r="G169" s="12" t="s">
        <v>64</v>
      </c>
      <c r="H169" s="12">
        <v>66.44</v>
      </c>
      <c r="I169" s="12">
        <f t="shared" si="6"/>
        <v>2.5</v>
      </c>
      <c r="J169" s="13" t="str">
        <f t="shared" si="7"/>
        <v>C+</v>
      </c>
      <c r="K169" s="14" t="str">
        <f t="shared" si="8"/>
        <v>Qoniqarli</v>
      </c>
    </row>
    <row r="170" spans="1:11" ht="15.75" customHeight="1" x14ac:dyDescent="0.25">
      <c r="A170" s="10">
        <v>158</v>
      </c>
      <c r="B170" s="11" t="s">
        <v>218</v>
      </c>
      <c r="C170" s="11" t="s">
        <v>175</v>
      </c>
      <c r="D170" s="12">
        <v>38.590000000000003</v>
      </c>
      <c r="E170" s="12">
        <v>16.829999999999998</v>
      </c>
      <c r="F170" s="12">
        <v>55.42</v>
      </c>
      <c r="G170" s="12" t="s">
        <v>36</v>
      </c>
      <c r="H170" s="12">
        <v>73.42</v>
      </c>
      <c r="I170" s="12">
        <f t="shared" si="6"/>
        <v>3</v>
      </c>
      <c r="J170" s="13" t="str">
        <f t="shared" si="7"/>
        <v>B</v>
      </c>
      <c r="K170" s="14" t="str">
        <f t="shared" si="8"/>
        <v>Yaxshi</v>
      </c>
    </row>
    <row r="171" spans="1:11" ht="15.75" customHeight="1" x14ac:dyDescent="0.25">
      <c r="A171" s="10">
        <v>159</v>
      </c>
      <c r="B171" s="11" t="s">
        <v>219</v>
      </c>
      <c r="C171" s="11" t="s">
        <v>175</v>
      </c>
      <c r="D171" s="12">
        <v>35.78</v>
      </c>
      <c r="E171" s="12">
        <v>17.82</v>
      </c>
      <c r="F171" s="12">
        <v>53.6</v>
      </c>
      <c r="G171" s="12" t="s">
        <v>48</v>
      </c>
      <c r="H171" s="12">
        <v>53.6</v>
      </c>
      <c r="I171" s="12">
        <f t="shared" si="6"/>
        <v>0</v>
      </c>
      <c r="J171" s="13" t="str">
        <f t="shared" si="7"/>
        <v>F</v>
      </c>
      <c r="K171" s="14" t="str">
        <f t="shared" si="8"/>
        <v>Qoniqarsiz</v>
      </c>
    </row>
    <row r="172" spans="1:11" ht="15.75" customHeight="1" x14ac:dyDescent="0.25">
      <c r="A172" s="10">
        <v>160</v>
      </c>
      <c r="B172" s="11" t="s">
        <v>220</v>
      </c>
      <c r="C172" s="11" t="s">
        <v>175</v>
      </c>
      <c r="D172" s="12">
        <v>38.590000000000003</v>
      </c>
      <c r="E172" s="12">
        <v>17.82</v>
      </c>
      <c r="F172" s="12">
        <v>56.41</v>
      </c>
      <c r="G172" s="12" t="s">
        <v>150</v>
      </c>
      <c r="H172" s="12">
        <v>64.41</v>
      </c>
      <c r="I172" s="12">
        <f t="shared" si="6"/>
        <v>2</v>
      </c>
      <c r="J172" s="13" t="str">
        <f t="shared" si="7"/>
        <v>C</v>
      </c>
      <c r="K172" s="14" t="str">
        <f t="shared" si="8"/>
        <v>Qoniqarli</v>
      </c>
    </row>
    <row r="173" spans="1:11" ht="15.75" customHeight="1" x14ac:dyDescent="0.25">
      <c r="A173" s="10">
        <v>161</v>
      </c>
      <c r="B173" s="11" t="s">
        <v>221</v>
      </c>
      <c r="C173" s="11" t="s">
        <v>175</v>
      </c>
      <c r="D173" s="12" t="s">
        <v>48</v>
      </c>
      <c r="E173" s="12">
        <v>0</v>
      </c>
      <c r="F173" s="12" t="s">
        <v>48</v>
      </c>
      <c r="G173" s="12" t="s">
        <v>48</v>
      </c>
      <c r="H173" s="12" t="s">
        <v>48</v>
      </c>
      <c r="I173" s="12">
        <f t="shared" si="6"/>
        <v>0</v>
      </c>
      <c r="J173" s="13" t="str">
        <f t="shared" si="7"/>
        <v>F</v>
      </c>
      <c r="K173" s="14" t="str">
        <f t="shared" si="8"/>
        <v>Qoniqarsiz</v>
      </c>
    </row>
    <row r="174" spans="1:11" ht="15.75" customHeight="1" x14ac:dyDescent="0.25">
      <c r="A174" s="10">
        <v>162</v>
      </c>
      <c r="B174" s="11" t="s">
        <v>222</v>
      </c>
      <c r="C174" s="11" t="s">
        <v>175</v>
      </c>
      <c r="D174" s="12">
        <v>35.78</v>
      </c>
      <c r="E174" s="12">
        <v>17.82</v>
      </c>
      <c r="F174" s="12">
        <v>53.6</v>
      </c>
      <c r="G174" s="12" t="s">
        <v>45</v>
      </c>
      <c r="H174" s="12">
        <v>73.599999999999994</v>
      </c>
      <c r="I174" s="12">
        <f t="shared" si="6"/>
        <v>3</v>
      </c>
      <c r="J174" s="13" t="str">
        <f t="shared" si="7"/>
        <v>B</v>
      </c>
      <c r="K174" s="14" t="str">
        <f t="shared" si="8"/>
        <v>Yaxshi</v>
      </c>
    </row>
    <row r="175" spans="1:11" ht="15.75" customHeight="1" x14ac:dyDescent="0.25">
      <c r="A175" s="10">
        <v>163</v>
      </c>
      <c r="B175" s="11" t="s">
        <v>223</v>
      </c>
      <c r="C175" s="11" t="s">
        <v>175</v>
      </c>
      <c r="D175" s="12">
        <v>21.31</v>
      </c>
      <c r="E175" s="12">
        <v>18.809999999999999</v>
      </c>
      <c r="F175" s="12">
        <v>40.119999999999997</v>
      </c>
      <c r="G175" s="12" t="s">
        <v>38</v>
      </c>
      <c r="H175" s="12">
        <v>64.12</v>
      </c>
      <c r="I175" s="12">
        <f t="shared" si="6"/>
        <v>2</v>
      </c>
      <c r="J175" s="13" t="str">
        <f t="shared" si="7"/>
        <v>C</v>
      </c>
      <c r="K175" s="14" t="str">
        <f t="shared" si="8"/>
        <v>Qoniqarli</v>
      </c>
    </row>
    <row r="176" spans="1:11" ht="15.75" customHeight="1" x14ac:dyDescent="0.25">
      <c r="A176" s="10">
        <v>164</v>
      </c>
      <c r="B176" s="11" t="s">
        <v>224</v>
      </c>
      <c r="C176" s="11" t="s">
        <v>175</v>
      </c>
      <c r="D176" s="12" t="s">
        <v>48</v>
      </c>
      <c r="E176" s="12">
        <v>0</v>
      </c>
      <c r="F176" s="12" t="s">
        <v>48</v>
      </c>
      <c r="G176" s="12" t="s">
        <v>72</v>
      </c>
      <c r="H176" s="12" t="s">
        <v>72</v>
      </c>
      <c r="I176" s="12">
        <f t="shared" si="6"/>
        <v>0</v>
      </c>
      <c r="J176" s="13" t="str">
        <f t="shared" si="7"/>
        <v>F</v>
      </c>
      <c r="K176" s="14" t="str">
        <f t="shared" si="8"/>
        <v>Qoniqarsiz</v>
      </c>
    </row>
    <row r="177" spans="1:11" ht="15.75" customHeight="1" x14ac:dyDescent="0.25">
      <c r="A177" s="10">
        <v>165</v>
      </c>
      <c r="B177" s="11" t="s">
        <v>225</v>
      </c>
      <c r="C177" s="11" t="s">
        <v>175</v>
      </c>
      <c r="D177" s="12">
        <v>29.75</v>
      </c>
      <c r="E177" s="12">
        <v>18.809999999999999</v>
      </c>
      <c r="F177" s="12">
        <v>48.56</v>
      </c>
      <c r="G177" s="12" t="s">
        <v>55</v>
      </c>
      <c r="H177" s="12">
        <v>74.56</v>
      </c>
      <c r="I177" s="12">
        <f t="shared" si="6"/>
        <v>3</v>
      </c>
      <c r="J177" s="13" t="str">
        <f t="shared" si="7"/>
        <v>B</v>
      </c>
      <c r="K177" s="14" t="str">
        <f t="shared" si="8"/>
        <v>Yaxshi</v>
      </c>
    </row>
    <row r="178" spans="1:11" ht="15.75" customHeight="1" x14ac:dyDescent="0.25">
      <c r="A178" s="10">
        <v>166</v>
      </c>
      <c r="B178" s="11" t="s">
        <v>226</v>
      </c>
      <c r="C178" s="11" t="s">
        <v>175</v>
      </c>
      <c r="D178" s="12">
        <v>34.57</v>
      </c>
      <c r="E178" s="12">
        <v>17.82</v>
      </c>
      <c r="F178" s="12">
        <v>52.39</v>
      </c>
      <c r="G178" s="12" t="s">
        <v>72</v>
      </c>
      <c r="H178" s="12">
        <v>74.39</v>
      </c>
      <c r="I178" s="12">
        <f t="shared" si="6"/>
        <v>3</v>
      </c>
      <c r="J178" s="13" t="str">
        <f t="shared" si="7"/>
        <v>B</v>
      </c>
      <c r="K178" s="14" t="str">
        <f t="shared" si="8"/>
        <v>Yaxshi</v>
      </c>
    </row>
    <row r="179" spans="1:11" ht="15.75" customHeight="1" x14ac:dyDescent="0.25">
      <c r="A179" s="10">
        <v>167</v>
      </c>
      <c r="B179" s="11" t="s">
        <v>227</v>
      </c>
      <c r="C179" s="11" t="s">
        <v>175</v>
      </c>
      <c r="D179" s="12">
        <v>37.79</v>
      </c>
      <c r="E179" s="12">
        <v>15.84</v>
      </c>
      <c r="F179" s="12">
        <v>53.63</v>
      </c>
      <c r="G179" s="12" t="s">
        <v>104</v>
      </c>
      <c r="H179" s="12">
        <v>83.63</v>
      </c>
      <c r="I179" s="12">
        <f t="shared" si="6"/>
        <v>3.5</v>
      </c>
      <c r="J179" s="13" t="str">
        <f t="shared" si="7"/>
        <v>B+</v>
      </c>
      <c r="K179" s="14" t="str">
        <f t="shared" si="8"/>
        <v>Yaxshi</v>
      </c>
    </row>
    <row r="180" spans="1:11" ht="15.75" customHeight="1" x14ac:dyDescent="0.25">
      <c r="A180" s="10">
        <v>168</v>
      </c>
      <c r="B180" s="11" t="s">
        <v>228</v>
      </c>
      <c r="C180" s="11" t="s">
        <v>175</v>
      </c>
      <c r="D180" s="12">
        <v>37.79</v>
      </c>
      <c r="E180" s="12">
        <v>0</v>
      </c>
      <c r="F180" s="12">
        <v>37.79</v>
      </c>
      <c r="G180" s="12" t="s">
        <v>36</v>
      </c>
      <c r="H180" s="12">
        <v>55.79</v>
      </c>
      <c r="I180" s="12">
        <f t="shared" si="6"/>
        <v>0</v>
      </c>
      <c r="J180" s="13" t="str">
        <f t="shared" si="7"/>
        <v>F</v>
      </c>
      <c r="K180" s="14" t="str">
        <f t="shared" si="8"/>
        <v>Qoniqarsiz</v>
      </c>
    </row>
    <row r="181" spans="1:11" ht="15.75" customHeight="1" x14ac:dyDescent="0.25">
      <c r="A181" s="10">
        <v>169</v>
      </c>
      <c r="B181" s="11" t="s">
        <v>229</v>
      </c>
      <c r="C181" s="11" t="s">
        <v>175</v>
      </c>
      <c r="D181" s="12">
        <v>34.57</v>
      </c>
      <c r="E181" s="12">
        <v>16.829999999999998</v>
      </c>
      <c r="F181" s="12">
        <v>51.4</v>
      </c>
      <c r="G181" s="12" t="s">
        <v>41</v>
      </c>
      <c r="H181" s="12">
        <v>63.4</v>
      </c>
      <c r="I181" s="12">
        <f t="shared" si="6"/>
        <v>2</v>
      </c>
      <c r="J181" s="13" t="str">
        <f t="shared" si="7"/>
        <v>C</v>
      </c>
      <c r="K181" s="14" t="str">
        <f t="shared" si="8"/>
        <v>Qoniqarli</v>
      </c>
    </row>
    <row r="182" spans="1:11" ht="15.75" customHeight="1" x14ac:dyDescent="0.25">
      <c r="A182" s="10">
        <v>170</v>
      </c>
      <c r="B182" s="11" t="s">
        <v>230</v>
      </c>
      <c r="C182" s="11" t="s">
        <v>175</v>
      </c>
      <c r="D182" s="12">
        <v>32.96</v>
      </c>
      <c r="E182" s="12">
        <v>18.809999999999999</v>
      </c>
      <c r="F182" s="12">
        <v>51.77</v>
      </c>
      <c r="G182" s="12" t="s">
        <v>72</v>
      </c>
      <c r="H182" s="12">
        <v>73.77</v>
      </c>
      <c r="I182" s="12">
        <f t="shared" si="6"/>
        <v>3</v>
      </c>
      <c r="J182" s="13" t="str">
        <f t="shared" si="7"/>
        <v>B</v>
      </c>
      <c r="K182" s="14" t="str">
        <f t="shared" si="8"/>
        <v>Yaxshi</v>
      </c>
    </row>
    <row r="183" spans="1:11" ht="15.75" customHeight="1" x14ac:dyDescent="0.25">
      <c r="A183" s="10">
        <v>171</v>
      </c>
      <c r="B183" s="11" t="s">
        <v>231</v>
      </c>
      <c r="C183" s="11" t="s">
        <v>175</v>
      </c>
      <c r="D183" s="12">
        <v>34.57</v>
      </c>
      <c r="E183" s="12">
        <v>15.84</v>
      </c>
      <c r="F183" s="12">
        <v>50.41</v>
      </c>
      <c r="G183" s="12" t="s">
        <v>48</v>
      </c>
      <c r="H183" s="12">
        <v>50.41</v>
      </c>
      <c r="I183" s="12">
        <f t="shared" si="6"/>
        <v>0</v>
      </c>
      <c r="J183" s="13" t="str">
        <f t="shared" si="7"/>
        <v>F</v>
      </c>
      <c r="K183" s="14" t="str">
        <f t="shared" si="8"/>
        <v>Qoniqarsiz</v>
      </c>
    </row>
    <row r="184" spans="1:11" ht="15.75" customHeight="1" x14ac:dyDescent="0.25">
      <c r="A184" s="10">
        <v>172</v>
      </c>
      <c r="B184" s="11" t="s">
        <v>232</v>
      </c>
      <c r="C184" s="11" t="s">
        <v>175</v>
      </c>
      <c r="D184" s="12">
        <v>35.380000000000003</v>
      </c>
      <c r="E184" s="12">
        <v>16.829999999999998</v>
      </c>
      <c r="F184" s="12">
        <v>52.21</v>
      </c>
      <c r="G184" s="12" t="s">
        <v>64</v>
      </c>
      <c r="H184" s="12">
        <v>68.209999999999994</v>
      </c>
      <c r="I184" s="12">
        <f t="shared" si="6"/>
        <v>2.5</v>
      </c>
      <c r="J184" s="13" t="str">
        <f t="shared" si="7"/>
        <v>C+</v>
      </c>
      <c r="K184" s="14" t="str">
        <f t="shared" si="8"/>
        <v>Qoniqarli</v>
      </c>
    </row>
    <row r="185" spans="1:11" ht="15.75" customHeight="1" x14ac:dyDescent="0.25">
      <c r="A185" s="10">
        <v>173</v>
      </c>
      <c r="B185" s="11" t="s">
        <v>233</v>
      </c>
      <c r="C185" s="11" t="s">
        <v>175</v>
      </c>
      <c r="D185" s="12">
        <v>28.54</v>
      </c>
      <c r="E185" s="12">
        <v>15.84</v>
      </c>
      <c r="F185" s="12">
        <v>44.38</v>
      </c>
      <c r="G185" s="12" t="s">
        <v>179</v>
      </c>
      <c r="H185" s="12">
        <v>80.38</v>
      </c>
      <c r="I185" s="12">
        <f t="shared" si="6"/>
        <v>3.5</v>
      </c>
      <c r="J185" s="13" t="str">
        <f t="shared" si="7"/>
        <v>B+</v>
      </c>
      <c r="K185" s="14" t="str">
        <f t="shared" si="8"/>
        <v>Yaxshi</v>
      </c>
    </row>
    <row r="186" spans="1:11" ht="15.75" customHeight="1" x14ac:dyDescent="0.25">
      <c r="A186" s="10">
        <v>174</v>
      </c>
      <c r="B186" s="11" t="s">
        <v>234</v>
      </c>
      <c r="C186" s="11" t="s">
        <v>175</v>
      </c>
      <c r="D186" s="12">
        <v>17.690000000000001</v>
      </c>
      <c r="E186" s="12">
        <v>0</v>
      </c>
      <c r="F186" s="12">
        <v>17.690000000000001</v>
      </c>
      <c r="G186" s="12" t="s">
        <v>41</v>
      </c>
      <c r="H186" s="12">
        <v>29.69</v>
      </c>
      <c r="I186" s="12">
        <f t="shared" si="6"/>
        <v>0</v>
      </c>
      <c r="J186" s="13" t="str">
        <f t="shared" si="7"/>
        <v>F</v>
      </c>
      <c r="K186" s="14" t="str">
        <f t="shared" si="8"/>
        <v>Qoniqarsiz</v>
      </c>
    </row>
    <row r="187" spans="1:11" ht="15.75" customHeight="1" x14ac:dyDescent="0.25">
      <c r="A187" s="10">
        <v>175</v>
      </c>
      <c r="B187" s="11" t="s">
        <v>235</v>
      </c>
      <c r="C187" s="11" t="s">
        <v>175</v>
      </c>
      <c r="D187" s="12">
        <v>22.91</v>
      </c>
      <c r="E187" s="12">
        <v>17.82</v>
      </c>
      <c r="F187" s="12">
        <v>40.729999999999997</v>
      </c>
      <c r="G187" s="12" t="s">
        <v>104</v>
      </c>
      <c r="H187" s="12">
        <v>70.73</v>
      </c>
      <c r="I187" s="12">
        <f t="shared" si="6"/>
        <v>3</v>
      </c>
      <c r="J187" s="13" t="str">
        <f t="shared" si="7"/>
        <v>B</v>
      </c>
      <c r="K187" s="14" t="str">
        <f t="shared" si="8"/>
        <v>Yaxshi</v>
      </c>
    </row>
    <row r="188" spans="1:11" ht="15.75" customHeight="1" x14ac:dyDescent="0.25">
      <c r="A188" s="10">
        <v>176</v>
      </c>
      <c r="B188" s="11" t="s">
        <v>236</v>
      </c>
      <c r="C188" s="11" t="s">
        <v>175</v>
      </c>
      <c r="D188" s="12">
        <v>31.36</v>
      </c>
      <c r="E188" s="12">
        <v>17.82</v>
      </c>
      <c r="F188" s="12">
        <v>49.18</v>
      </c>
      <c r="G188" s="12" t="s">
        <v>72</v>
      </c>
      <c r="H188" s="12">
        <v>71.180000000000007</v>
      </c>
      <c r="I188" s="12">
        <f t="shared" si="6"/>
        <v>3</v>
      </c>
      <c r="J188" s="13" t="str">
        <f t="shared" si="7"/>
        <v>B</v>
      </c>
      <c r="K188" s="14" t="str">
        <f t="shared" si="8"/>
        <v>Yaxshi</v>
      </c>
    </row>
    <row r="189" spans="1:11" ht="15.75" customHeight="1" x14ac:dyDescent="0.25">
      <c r="A189" s="10">
        <v>177</v>
      </c>
      <c r="B189" s="11" t="s">
        <v>237</v>
      </c>
      <c r="C189" s="11" t="s">
        <v>238</v>
      </c>
      <c r="D189" s="12">
        <v>36.58</v>
      </c>
      <c r="E189" s="12">
        <v>14.85</v>
      </c>
      <c r="F189" s="12">
        <v>51.43</v>
      </c>
      <c r="G189" s="12" t="s">
        <v>38</v>
      </c>
      <c r="H189" s="12">
        <v>75.430000000000007</v>
      </c>
      <c r="I189" s="12">
        <f t="shared" si="6"/>
        <v>3</v>
      </c>
      <c r="J189" s="13" t="str">
        <f t="shared" si="7"/>
        <v>B</v>
      </c>
      <c r="K189" s="14" t="str">
        <f t="shared" si="8"/>
        <v>Yaxshi</v>
      </c>
    </row>
    <row r="190" spans="1:11" ht="15.75" customHeight="1" x14ac:dyDescent="0.25">
      <c r="A190" s="10">
        <v>178</v>
      </c>
      <c r="B190" s="11" t="s">
        <v>239</v>
      </c>
      <c r="C190" s="11" t="s">
        <v>238</v>
      </c>
      <c r="D190" s="12">
        <v>37.79</v>
      </c>
      <c r="E190" s="12">
        <v>18.809999999999999</v>
      </c>
      <c r="F190" s="12">
        <v>56.6</v>
      </c>
      <c r="G190" s="12" t="s">
        <v>58</v>
      </c>
      <c r="H190" s="12">
        <v>84.6</v>
      </c>
      <c r="I190" s="12">
        <f t="shared" si="6"/>
        <v>3.5</v>
      </c>
      <c r="J190" s="13" t="str">
        <f t="shared" si="7"/>
        <v>B+</v>
      </c>
      <c r="K190" s="14" t="str">
        <f t="shared" si="8"/>
        <v>Yaxshi</v>
      </c>
    </row>
    <row r="191" spans="1:11" ht="15.75" customHeight="1" x14ac:dyDescent="0.25">
      <c r="A191" s="10">
        <v>179</v>
      </c>
      <c r="B191" s="11" t="s">
        <v>240</v>
      </c>
      <c r="C191" s="11" t="s">
        <v>238</v>
      </c>
      <c r="D191" s="12">
        <v>30.55</v>
      </c>
      <c r="E191" s="12">
        <v>15.84</v>
      </c>
      <c r="F191" s="12">
        <v>46.39</v>
      </c>
      <c r="G191" s="12" t="s">
        <v>43</v>
      </c>
      <c r="H191" s="12">
        <v>60.39</v>
      </c>
      <c r="I191" s="12">
        <f t="shared" si="6"/>
        <v>2</v>
      </c>
      <c r="J191" s="13" t="str">
        <f t="shared" si="7"/>
        <v>C</v>
      </c>
      <c r="K191" s="14" t="str">
        <f t="shared" si="8"/>
        <v>Qoniqarli</v>
      </c>
    </row>
    <row r="192" spans="1:11" ht="15.75" customHeight="1" x14ac:dyDescent="0.25">
      <c r="A192" s="10">
        <v>180</v>
      </c>
      <c r="B192" s="11" t="s">
        <v>241</v>
      </c>
      <c r="C192" s="11" t="s">
        <v>238</v>
      </c>
      <c r="D192" s="12">
        <v>37.79</v>
      </c>
      <c r="E192" s="12">
        <v>19.8</v>
      </c>
      <c r="F192" s="12">
        <v>57.59</v>
      </c>
      <c r="G192" s="12" t="s">
        <v>55</v>
      </c>
      <c r="H192" s="12">
        <v>83.59</v>
      </c>
      <c r="I192" s="12">
        <f t="shared" si="6"/>
        <v>3.5</v>
      </c>
      <c r="J192" s="13" t="str">
        <f t="shared" si="7"/>
        <v>B+</v>
      </c>
      <c r="K192" s="14" t="str">
        <f t="shared" si="8"/>
        <v>Yaxshi</v>
      </c>
    </row>
    <row r="193" spans="1:11" ht="15.75" customHeight="1" x14ac:dyDescent="0.25">
      <c r="A193" s="10">
        <v>181</v>
      </c>
      <c r="B193" s="11" t="s">
        <v>242</v>
      </c>
      <c r="C193" s="11" t="s">
        <v>238</v>
      </c>
      <c r="D193" s="12">
        <v>37.79</v>
      </c>
      <c r="E193" s="12">
        <v>17.82</v>
      </c>
      <c r="F193" s="12">
        <v>55.61</v>
      </c>
      <c r="G193" s="12" t="s">
        <v>55</v>
      </c>
      <c r="H193" s="12">
        <v>81.61</v>
      </c>
      <c r="I193" s="12">
        <f t="shared" si="6"/>
        <v>3.5</v>
      </c>
      <c r="J193" s="13" t="str">
        <f t="shared" si="7"/>
        <v>B+</v>
      </c>
      <c r="K193" s="14" t="str">
        <f t="shared" si="8"/>
        <v>Yaxshi</v>
      </c>
    </row>
    <row r="194" spans="1:11" ht="15.75" customHeight="1" x14ac:dyDescent="0.25">
      <c r="A194" s="10">
        <v>182</v>
      </c>
      <c r="B194" s="11" t="s">
        <v>243</v>
      </c>
      <c r="C194" s="11" t="s">
        <v>238</v>
      </c>
      <c r="D194" s="12" t="s">
        <v>48</v>
      </c>
      <c r="E194" s="12" t="s">
        <v>48</v>
      </c>
      <c r="F194" s="12" t="s">
        <v>48</v>
      </c>
      <c r="G194" s="12" t="s">
        <v>48</v>
      </c>
      <c r="H194" s="12" t="s">
        <v>48</v>
      </c>
      <c r="I194" s="12">
        <f t="shared" si="6"/>
        <v>0</v>
      </c>
      <c r="J194" s="13" t="str">
        <f t="shared" si="7"/>
        <v>F</v>
      </c>
      <c r="K194" s="14" t="str">
        <f t="shared" si="8"/>
        <v>Qoniqarsiz</v>
      </c>
    </row>
    <row r="195" spans="1:11" ht="15.75" customHeight="1" x14ac:dyDescent="0.25">
      <c r="A195" s="10">
        <v>183</v>
      </c>
      <c r="B195" s="11" t="s">
        <v>244</v>
      </c>
      <c r="C195" s="11" t="s">
        <v>238</v>
      </c>
      <c r="D195" s="12">
        <v>14.87</v>
      </c>
      <c r="E195" s="12">
        <v>13.86</v>
      </c>
      <c r="F195" s="12">
        <v>28.73</v>
      </c>
      <c r="G195" s="12" t="s">
        <v>72</v>
      </c>
      <c r="H195" s="12">
        <v>50.73</v>
      </c>
      <c r="I195" s="12">
        <f t="shared" si="6"/>
        <v>0</v>
      </c>
      <c r="J195" s="13" t="str">
        <f t="shared" si="7"/>
        <v>F</v>
      </c>
      <c r="K195" s="14" t="str">
        <f t="shared" si="8"/>
        <v>Qoniqarsiz</v>
      </c>
    </row>
    <row r="196" spans="1:11" ht="15.75" customHeight="1" x14ac:dyDescent="0.25">
      <c r="A196" s="10">
        <v>184</v>
      </c>
      <c r="B196" s="11" t="s">
        <v>245</v>
      </c>
      <c r="C196" s="11" t="s">
        <v>238</v>
      </c>
      <c r="D196" s="12">
        <v>37.79</v>
      </c>
      <c r="E196" s="12">
        <v>16.829999999999998</v>
      </c>
      <c r="F196" s="12">
        <v>54.62</v>
      </c>
      <c r="G196" s="12" t="s">
        <v>43</v>
      </c>
      <c r="H196" s="12">
        <v>68.62</v>
      </c>
      <c r="I196" s="12">
        <f t="shared" si="6"/>
        <v>2.5</v>
      </c>
      <c r="J196" s="13" t="str">
        <f t="shared" si="7"/>
        <v>C+</v>
      </c>
      <c r="K196" s="14" t="str">
        <f t="shared" si="8"/>
        <v>Qoniqarli</v>
      </c>
    </row>
    <row r="197" spans="1:11" ht="15.75" customHeight="1" x14ac:dyDescent="0.25">
      <c r="A197" s="10">
        <v>185</v>
      </c>
      <c r="B197" s="11" t="s">
        <v>246</v>
      </c>
      <c r="C197" s="11" t="s">
        <v>238</v>
      </c>
      <c r="D197" s="12">
        <v>38.19</v>
      </c>
      <c r="E197" s="12">
        <v>19.8</v>
      </c>
      <c r="F197" s="12">
        <v>57.99</v>
      </c>
      <c r="G197" s="12" t="s">
        <v>58</v>
      </c>
      <c r="H197" s="12">
        <v>85.99</v>
      </c>
      <c r="I197" s="12">
        <f t="shared" si="6"/>
        <v>3.5</v>
      </c>
      <c r="J197" s="13" t="str">
        <f t="shared" si="7"/>
        <v>B+</v>
      </c>
      <c r="K197" s="14" t="str">
        <f t="shared" si="8"/>
        <v>Yaxshi</v>
      </c>
    </row>
    <row r="198" spans="1:11" ht="15.75" customHeight="1" x14ac:dyDescent="0.25">
      <c r="A198" s="10">
        <v>186</v>
      </c>
      <c r="B198" s="11" t="s">
        <v>247</v>
      </c>
      <c r="C198" s="11" t="s">
        <v>238</v>
      </c>
      <c r="D198" s="12">
        <v>8.0399999999999991</v>
      </c>
      <c r="E198" s="12" t="s">
        <v>48</v>
      </c>
      <c r="F198" s="12">
        <v>8.0399999999999991</v>
      </c>
      <c r="G198" s="12" t="s">
        <v>104</v>
      </c>
      <c r="H198" s="12">
        <v>38.04</v>
      </c>
      <c r="I198" s="12">
        <f t="shared" si="6"/>
        <v>0</v>
      </c>
      <c r="J198" s="13" t="str">
        <f t="shared" si="7"/>
        <v>F</v>
      </c>
      <c r="K198" s="14" t="str">
        <f t="shared" si="8"/>
        <v>Qoniqarsiz</v>
      </c>
    </row>
    <row r="199" spans="1:11" ht="15.75" customHeight="1" x14ac:dyDescent="0.25">
      <c r="A199" s="10">
        <v>187</v>
      </c>
      <c r="B199" s="11" t="s">
        <v>248</v>
      </c>
      <c r="C199" s="11" t="s">
        <v>238</v>
      </c>
      <c r="D199" s="12">
        <v>36.58</v>
      </c>
      <c r="E199" s="12">
        <v>18.809999999999999</v>
      </c>
      <c r="F199" s="12">
        <v>55.39</v>
      </c>
      <c r="G199" s="12" t="s">
        <v>45</v>
      </c>
      <c r="H199" s="12">
        <v>75.39</v>
      </c>
      <c r="I199" s="12">
        <f t="shared" si="6"/>
        <v>3</v>
      </c>
      <c r="J199" s="13" t="str">
        <f t="shared" si="7"/>
        <v>B</v>
      </c>
      <c r="K199" s="14" t="str">
        <f t="shared" si="8"/>
        <v>Yaxshi</v>
      </c>
    </row>
    <row r="200" spans="1:11" ht="15.75" customHeight="1" x14ac:dyDescent="0.25">
      <c r="A200" s="10">
        <v>188</v>
      </c>
      <c r="B200" s="11" t="s">
        <v>249</v>
      </c>
      <c r="C200" s="11" t="s">
        <v>238</v>
      </c>
      <c r="D200" s="12">
        <v>22.91</v>
      </c>
      <c r="E200" s="12">
        <v>15.84</v>
      </c>
      <c r="F200" s="12">
        <v>38.75</v>
      </c>
      <c r="G200" s="12" t="s">
        <v>43</v>
      </c>
      <c r="H200" s="12">
        <v>52.75</v>
      </c>
      <c r="I200" s="12">
        <f t="shared" si="6"/>
        <v>0</v>
      </c>
      <c r="J200" s="13" t="str">
        <f t="shared" si="7"/>
        <v>F</v>
      </c>
      <c r="K200" s="14" t="str">
        <f t="shared" si="8"/>
        <v>Qoniqarsiz</v>
      </c>
    </row>
    <row r="201" spans="1:11" ht="15.75" customHeight="1" x14ac:dyDescent="0.25">
      <c r="A201" s="10">
        <v>189</v>
      </c>
      <c r="B201" s="11" t="s">
        <v>250</v>
      </c>
      <c r="C201" s="11" t="s">
        <v>238</v>
      </c>
      <c r="D201" s="12">
        <v>36.18</v>
      </c>
      <c r="E201" s="12">
        <v>18.809999999999999</v>
      </c>
      <c r="F201" s="12">
        <v>54.99</v>
      </c>
      <c r="G201" s="12" t="s">
        <v>66</v>
      </c>
      <c r="H201" s="12">
        <v>92.99</v>
      </c>
      <c r="I201" s="12">
        <f t="shared" si="6"/>
        <v>4</v>
      </c>
      <c r="J201" s="13" t="str">
        <f t="shared" si="7"/>
        <v>A</v>
      </c>
      <c r="K201" s="14" t="str">
        <f t="shared" si="8"/>
        <v>Yaxshi</v>
      </c>
    </row>
    <row r="202" spans="1:11" ht="15.75" customHeight="1" x14ac:dyDescent="0.25">
      <c r="A202" s="10">
        <v>190</v>
      </c>
      <c r="B202" s="11" t="s">
        <v>251</v>
      </c>
      <c r="C202" s="11" t="s">
        <v>238</v>
      </c>
      <c r="D202" s="12">
        <v>39.799999999999997</v>
      </c>
      <c r="E202" s="12">
        <v>19.8</v>
      </c>
      <c r="F202" s="12">
        <v>59.6</v>
      </c>
      <c r="G202" s="12" t="s">
        <v>43</v>
      </c>
      <c r="H202" s="12">
        <v>73.599999999999994</v>
      </c>
      <c r="I202" s="12">
        <f t="shared" si="6"/>
        <v>3</v>
      </c>
      <c r="J202" s="13" t="str">
        <f t="shared" si="7"/>
        <v>B</v>
      </c>
      <c r="K202" s="14" t="str">
        <f t="shared" si="8"/>
        <v>Yaxshi</v>
      </c>
    </row>
    <row r="203" spans="1:11" ht="15.75" customHeight="1" x14ac:dyDescent="0.25">
      <c r="A203" s="10">
        <v>191</v>
      </c>
      <c r="B203" s="11" t="s">
        <v>252</v>
      </c>
      <c r="C203" s="11" t="s">
        <v>238</v>
      </c>
      <c r="D203" s="12">
        <v>36.58</v>
      </c>
      <c r="E203" s="12">
        <v>17.82</v>
      </c>
      <c r="F203" s="12">
        <v>54.4</v>
      </c>
      <c r="G203" s="12" t="s">
        <v>55</v>
      </c>
      <c r="H203" s="12">
        <v>80.400000000000006</v>
      </c>
      <c r="I203" s="12">
        <f t="shared" si="6"/>
        <v>3.5</v>
      </c>
      <c r="J203" s="13" t="str">
        <f t="shared" si="7"/>
        <v>B+</v>
      </c>
      <c r="K203" s="14" t="str">
        <f t="shared" si="8"/>
        <v>Yaxshi</v>
      </c>
    </row>
    <row r="204" spans="1:11" ht="15.75" customHeight="1" x14ac:dyDescent="0.25">
      <c r="A204" s="10">
        <v>192</v>
      </c>
      <c r="B204" s="11" t="s">
        <v>253</v>
      </c>
      <c r="C204" s="11" t="s">
        <v>238</v>
      </c>
      <c r="D204" s="12">
        <v>38.590000000000003</v>
      </c>
      <c r="E204" s="12">
        <v>19.8</v>
      </c>
      <c r="F204" s="12">
        <v>58.39</v>
      </c>
      <c r="G204" s="12" t="s">
        <v>58</v>
      </c>
      <c r="H204" s="12">
        <v>86.39</v>
      </c>
      <c r="I204" s="12">
        <f t="shared" si="6"/>
        <v>3.5</v>
      </c>
      <c r="J204" s="13" t="str">
        <f t="shared" si="7"/>
        <v>B+</v>
      </c>
      <c r="K204" s="14" t="str">
        <f t="shared" si="8"/>
        <v>Yaxshi</v>
      </c>
    </row>
    <row r="205" spans="1:11" ht="15.75" customHeight="1" x14ac:dyDescent="0.25">
      <c r="A205" s="10">
        <v>193</v>
      </c>
      <c r="B205" s="11" t="s">
        <v>254</v>
      </c>
      <c r="C205" s="11" t="s">
        <v>238</v>
      </c>
      <c r="D205" s="12">
        <v>37.79</v>
      </c>
      <c r="E205" s="12">
        <v>16.829999999999998</v>
      </c>
      <c r="F205" s="12">
        <v>54.62</v>
      </c>
      <c r="G205" s="12" t="s">
        <v>43</v>
      </c>
      <c r="H205" s="12">
        <v>68.62</v>
      </c>
      <c r="I205" s="12">
        <f t="shared" ref="I205:I268" si="9">IF(H205*1&gt;=95,4.5,IF(H205*1&gt;=90,4,IF(H205*1&gt;=80,3.5,IF(H205*1&gt;=70,3,IF(H205*1&gt;=65,2.5,IF(H205*1&gt;=60,2,0))))))</f>
        <v>2.5</v>
      </c>
      <c r="J205" s="13" t="str">
        <f t="shared" ref="J205:J268" si="10">IF(H205*1&gt;=95,"A+",IF(H205*1&gt;=90,"A",IF(H205*1&gt;=80,"B+",IF(H205*1&gt;=70,"B",IF(H205*1&gt;=65,"C+",IF(H205*1&gt;=60,"C","F"))))))</f>
        <v>C+</v>
      </c>
      <c r="K205" s="14" t="str">
        <f t="shared" ref="K205:K268" si="11">IF(H205*1&gt;=70,"Yaxshi",IF(H205*1&gt;=60,"Qoniqarli","Qoniqarsiz"))</f>
        <v>Qoniqarli</v>
      </c>
    </row>
    <row r="206" spans="1:11" ht="15.75" customHeight="1" x14ac:dyDescent="0.25">
      <c r="A206" s="10">
        <v>194</v>
      </c>
      <c r="B206" s="11" t="s">
        <v>255</v>
      </c>
      <c r="C206" s="11" t="s">
        <v>238</v>
      </c>
      <c r="D206" s="12">
        <v>37.39</v>
      </c>
      <c r="E206" s="12">
        <v>17.82</v>
      </c>
      <c r="F206" s="12">
        <v>55.21</v>
      </c>
      <c r="G206" s="12" t="s">
        <v>55</v>
      </c>
      <c r="H206" s="12">
        <v>81.209999999999994</v>
      </c>
      <c r="I206" s="12">
        <f t="shared" si="9"/>
        <v>3.5</v>
      </c>
      <c r="J206" s="13" t="str">
        <f t="shared" si="10"/>
        <v>B+</v>
      </c>
      <c r="K206" s="14" t="str">
        <f t="shared" si="11"/>
        <v>Yaxshi</v>
      </c>
    </row>
    <row r="207" spans="1:11" ht="15.75" customHeight="1" x14ac:dyDescent="0.25">
      <c r="A207" s="10">
        <v>195</v>
      </c>
      <c r="B207" s="11" t="s">
        <v>256</v>
      </c>
      <c r="C207" s="11" t="s">
        <v>238</v>
      </c>
      <c r="D207" s="12">
        <v>34.17</v>
      </c>
      <c r="E207" s="12">
        <v>18.809999999999999</v>
      </c>
      <c r="F207" s="12">
        <v>52.98</v>
      </c>
      <c r="G207" s="12" t="s">
        <v>45</v>
      </c>
      <c r="H207" s="12">
        <v>72.98</v>
      </c>
      <c r="I207" s="12">
        <f t="shared" si="9"/>
        <v>3</v>
      </c>
      <c r="J207" s="13" t="str">
        <f t="shared" si="10"/>
        <v>B</v>
      </c>
      <c r="K207" s="14" t="str">
        <f t="shared" si="11"/>
        <v>Yaxshi</v>
      </c>
    </row>
    <row r="208" spans="1:11" ht="15.75" customHeight="1" x14ac:dyDescent="0.25">
      <c r="A208" s="10">
        <v>196</v>
      </c>
      <c r="B208" s="11" t="s">
        <v>257</v>
      </c>
      <c r="C208" s="11" t="s">
        <v>238</v>
      </c>
      <c r="D208" s="12" t="s">
        <v>48</v>
      </c>
      <c r="E208" s="12">
        <v>0</v>
      </c>
      <c r="F208" s="12" t="s">
        <v>48</v>
      </c>
      <c r="G208" s="12" t="s">
        <v>110</v>
      </c>
      <c r="H208" s="12" t="s">
        <v>110</v>
      </c>
      <c r="I208" s="12">
        <f t="shared" si="9"/>
        <v>0</v>
      </c>
      <c r="J208" s="13" t="str">
        <f t="shared" si="10"/>
        <v>F</v>
      </c>
      <c r="K208" s="14" t="str">
        <f t="shared" si="11"/>
        <v>Qoniqarsiz</v>
      </c>
    </row>
    <row r="209" spans="1:11" ht="15.75" customHeight="1" x14ac:dyDescent="0.25">
      <c r="A209" s="10">
        <v>197</v>
      </c>
      <c r="B209" s="11" t="s">
        <v>258</v>
      </c>
      <c r="C209" s="11" t="s">
        <v>238</v>
      </c>
      <c r="D209" s="12">
        <v>34.57</v>
      </c>
      <c r="E209" s="12">
        <v>17.82</v>
      </c>
      <c r="F209" s="12">
        <v>52.39</v>
      </c>
      <c r="G209" s="12" t="s">
        <v>36</v>
      </c>
      <c r="H209" s="12">
        <v>70.39</v>
      </c>
      <c r="I209" s="12">
        <f t="shared" si="9"/>
        <v>3</v>
      </c>
      <c r="J209" s="13" t="str">
        <f t="shared" si="10"/>
        <v>B</v>
      </c>
      <c r="K209" s="14" t="str">
        <f t="shared" si="11"/>
        <v>Yaxshi</v>
      </c>
    </row>
    <row r="210" spans="1:11" ht="15.75" customHeight="1" x14ac:dyDescent="0.25">
      <c r="A210" s="10">
        <v>198</v>
      </c>
      <c r="B210" s="11" t="s">
        <v>259</v>
      </c>
      <c r="C210" s="11" t="s">
        <v>238</v>
      </c>
      <c r="D210" s="12">
        <v>34.97</v>
      </c>
      <c r="E210" s="12">
        <v>16.829999999999998</v>
      </c>
      <c r="F210" s="12">
        <v>51.8</v>
      </c>
      <c r="G210" s="12" t="s">
        <v>72</v>
      </c>
      <c r="H210" s="12">
        <v>73.8</v>
      </c>
      <c r="I210" s="12">
        <f t="shared" si="9"/>
        <v>3</v>
      </c>
      <c r="J210" s="13" t="str">
        <f t="shared" si="10"/>
        <v>B</v>
      </c>
      <c r="K210" s="14" t="str">
        <f t="shared" si="11"/>
        <v>Yaxshi</v>
      </c>
    </row>
    <row r="211" spans="1:11" ht="15.75" customHeight="1" x14ac:dyDescent="0.25">
      <c r="A211" s="10">
        <v>199</v>
      </c>
      <c r="B211" s="11" t="s">
        <v>260</v>
      </c>
      <c r="C211" s="11" t="s">
        <v>238</v>
      </c>
      <c r="D211" s="12">
        <v>37.39</v>
      </c>
      <c r="E211" s="12">
        <v>17.82</v>
      </c>
      <c r="F211" s="12">
        <v>55.21</v>
      </c>
      <c r="G211" s="12" t="s">
        <v>55</v>
      </c>
      <c r="H211" s="12">
        <v>81.209999999999994</v>
      </c>
      <c r="I211" s="12">
        <f t="shared" si="9"/>
        <v>3.5</v>
      </c>
      <c r="J211" s="13" t="str">
        <f t="shared" si="10"/>
        <v>B+</v>
      </c>
      <c r="K211" s="14" t="str">
        <f t="shared" si="11"/>
        <v>Yaxshi</v>
      </c>
    </row>
    <row r="212" spans="1:11" ht="15.75" customHeight="1" x14ac:dyDescent="0.25">
      <c r="A212" s="10">
        <v>200</v>
      </c>
      <c r="B212" s="11" t="s">
        <v>261</v>
      </c>
      <c r="C212" s="11" t="s">
        <v>238</v>
      </c>
      <c r="D212" s="12">
        <v>37.79</v>
      </c>
      <c r="E212" s="12">
        <v>19.8</v>
      </c>
      <c r="F212" s="12">
        <v>57.59</v>
      </c>
      <c r="G212" s="12" t="s">
        <v>34</v>
      </c>
      <c r="H212" s="12">
        <v>91.59</v>
      </c>
      <c r="I212" s="12">
        <f t="shared" si="9"/>
        <v>4</v>
      </c>
      <c r="J212" s="13" t="str">
        <f t="shared" si="10"/>
        <v>A</v>
      </c>
      <c r="K212" s="14" t="str">
        <f t="shared" si="11"/>
        <v>Yaxshi</v>
      </c>
    </row>
    <row r="213" spans="1:11" ht="15.75" customHeight="1" x14ac:dyDescent="0.25">
      <c r="A213" s="10">
        <v>201</v>
      </c>
      <c r="B213" s="11" t="s">
        <v>262</v>
      </c>
      <c r="C213" s="11" t="s">
        <v>238</v>
      </c>
      <c r="D213" s="12">
        <v>35.78</v>
      </c>
      <c r="E213" s="12">
        <v>17.82</v>
      </c>
      <c r="F213" s="12">
        <v>53.6</v>
      </c>
      <c r="G213" s="12" t="s">
        <v>60</v>
      </c>
      <c r="H213" s="12">
        <v>85.6</v>
      </c>
      <c r="I213" s="12">
        <f t="shared" si="9"/>
        <v>3.5</v>
      </c>
      <c r="J213" s="13" t="str">
        <f t="shared" si="10"/>
        <v>B+</v>
      </c>
      <c r="K213" s="14" t="str">
        <f t="shared" si="11"/>
        <v>Yaxshi</v>
      </c>
    </row>
    <row r="214" spans="1:11" ht="15.75" customHeight="1" x14ac:dyDescent="0.25">
      <c r="A214" s="10">
        <v>202</v>
      </c>
      <c r="B214" s="11" t="s">
        <v>263</v>
      </c>
      <c r="C214" s="11" t="s">
        <v>238</v>
      </c>
      <c r="D214" s="12">
        <v>34.17</v>
      </c>
      <c r="E214" s="12">
        <v>17.82</v>
      </c>
      <c r="F214" s="12">
        <v>51.99</v>
      </c>
      <c r="G214" s="12" t="s">
        <v>55</v>
      </c>
      <c r="H214" s="12">
        <v>77.989999999999995</v>
      </c>
      <c r="I214" s="12">
        <f t="shared" si="9"/>
        <v>3</v>
      </c>
      <c r="J214" s="13" t="str">
        <f t="shared" si="10"/>
        <v>B</v>
      </c>
      <c r="K214" s="14" t="str">
        <f t="shared" si="11"/>
        <v>Yaxshi</v>
      </c>
    </row>
    <row r="215" spans="1:11" ht="15.75" customHeight="1" x14ac:dyDescent="0.25">
      <c r="A215" s="10">
        <v>203</v>
      </c>
      <c r="B215" s="11" t="s">
        <v>264</v>
      </c>
      <c r="C215" s="11" t="s">
        <v>238</v>
      </c>
      <c r="D215" s="12">
        <v>0</v>
      </c>
      <c r="E215" s="12">
        <v>0</v>
      </c>
      <c r="F215" s="12" t="s">
        <v>48</v>
      </c>
      <c r="G215" s="12">
        <v>0</v>
      </c>
      <c r="H215" s="12">
        <v>0</v>
      </c>
      <c r="I215" s="12">
        <f t="shared" si="9"/>
        <v>0</v>
      </c>
      <c r="J215" s="13" t="str">
        <f t="shared" si="10"/>
        <v>F</v>
      </c>
      <c r="K215" s="14" t="str">
        <f t="shared" si="11"/>
        <v>Qoniqarsiz</v>
      </c>
    </row>
    <row r="216" spans="1:11" ht="15.75" customHeight="1" x14ac:dyDescent="0.25">
      <c r="A216" s="10">
        <v>204</v>
      </c>
      <c r="B216" s="11" t="s">
        <v>265</v>
      </c>
      <c r="C216" s="11" t="s">
        <v>238</v>
      </c>
      <c r="D216" s="12">
        <v>37.39</v>
      </c>
      <c r="E216" s="12">
        <v>19.8</v>
      </c>
      <c r="F216" s="12">
        <v>57.19</v>
      </c>
      <c r="G216" s="12" t="s">
        <v>58</v>
      </c>
      <c r="H216" s="12">
        <v>85.19</v>
      </c>
      <c r="I216" s="12">
        <f t="shared" si="9"/>
        <v>3.5</v>
      </c>
      <c r="J216" s="13" t="str">
        <f t="shared" si="10"/>
        <v>B+</v>
      </c>
      <c r="K216" s="14" t="str">
        <f t="shared" si="11"/>
        <v>Yaxshi</v>
      </c>
    </row>
    <row r="217" spans="1:11" ht="15.75" customHeight="1" x14ac:dyDescent="0.25">
      <c r="A217" s="10">
        <v>205</v>
      </c>
      <c r="B217" s="11" t="s">
        <v>266</v>
      </c>
      <c r="C217" s="11" t="s">
        <v>238</v>
      </c>
      <c r="D217" s="12">
        <v>35.78</v>
      </c>
      <c r="E217" s="12">
        <v>14.85</v>
      </c>
      <c r="F217" s="12">
        <v>50.63</v>
      </c>
      <c r="G217" s="12" t="s">
        <v>72</v>
      </c>
      <c r="H217" s="12">
        <v>72.63</v>
      </c>
      <c r="I217" s="12">
        <f t="shared" si="9"/>
        <v>3</v>
      </c>
      <c r="J217" s="13" t="str">
        <f t="shared" si="10"/>
        <v>B</v>
      </c>
      <c r="K217" s="14" t="str">
        <f t="shared" si="11"/>
        <v>Yaxshi</v>
      </c>
    </row>
    <row r="218" spans="1:11" ht="15.75" customHeight="1" x14ac:dyDescent="0.25">
      <c r="A218" s="10">
        <v>206</v>
      </c>
      <c r="B218" s="11" t="s">
        <v>267</v>
      </c>
      <c r="C218" s="11" t="s">
        <v>238</v>
      </c>
      <c r="D218" s="12">
        <v>37.79</v>
      </c>
      <c r="E218" s="12">
        <v>18.809999999999999</v>
      </c>
      <c r="F218" s="12">
        <v>56.6</v>
      </c>
      <c r="G218" s="12" t="s">
        <v>66</v>
      </c>
      <c r="H218" s="12">
        <v>94.6</v>
      </c>
      <c r="I218" s="12">
        <f t="shared" si="9"/>
        <v>4</v>
      </c>
      <c r="J218" s="13" t="str">
        <f t="shared" si="10"/>
        <v>A</v>
      </c>
      <c r="K218" s="14" t="str">
        <f t="shared" si="11"/>
        <v>Yaxshi</v>
      </c>
    </row>
    <row r="219" spans="1:11" ht="15.75" customHeight="1" x14ac:dyDescent="0.25">
      <c r="A219" s="10">
        <v>207</v>
      </c>
      <c r="B219" s="11" t="s">
        <v>268</v>
      </c>
      <c r="C219" s="11" t="s">
        <v>238</v>
      </c>
      <c r="D219" s="12">
        <v>34.57</v>
      </c>
      <c r="E219" s="12">
        <v>19.8</v>
      </c>
      <c r="F219" s="12">
        <v>54.37</v>
      </c>
      <c r="G219" s="12" t="s">
        <v>43</v>
      </c>
      <c r="H219" s="12">
        <v>68.37</v>
      </c>
      <c r="I219" s="12">
        <f t="shared" si="9"/>
        <v>2.5</v>
      </c>
      <c r="J219" s="13" t="str">
        <f t="shared" si="10"/>
        <v>C+</v>
      </c>
      <c r="K219" s="14" t="str">
        <f t="shared" si="11"/>
        <v>Qoniqarli</v>
      </c>
    </row>
    <row r="220" spans="1:11" ht="15.75" customHeight="1" x14ac:dyDescent="0.25">
      <c r="A220" s="10">
        <v>208</v>
      </c>
      <c r="B220" s="11" t="s">
        <v>269</v>
      </c>
      <c r="C220" s="11" t="s">
        <v>238</v>
      </c>
      <c r="D220" s="12" t="s">
        <v>48</v>
      </c>
      <c r="E220" s="12">
        <v>0</v>
      </c>
      <c r="F220" s="12" t="s">
        <v>48</v>
      </c>
      <c r="G220" s="12" t="s">
        <v>48</v>
      </c>
      <c r="H220" s="12" t="s">
        <v>48</v>
      </c>
      <c r="I220" s="12">
        <f t="shared" si="9"/>
        <v>0</v>
      </c>
      <c r="J220" s="13" t="str">
        <f t="shared" si="10"/>
        <v>F</v>
      </c>
      <c r="K220" s="14" t="str">
        <f t="shared" si="11"/>
        <v>Qoniqarsiz</v>
      </c>
    </row>
    <row r="221" spans="1:11" ht="15.75" customHeight="1" x14ac:dyDescent="0.25">
      <c r="A221" s="10">
        <v>209</v>
      </c>
      <c r="B221" s="11" t="s">
        <v>270</v>
      </c>
      <c r="C221" s="11" t="s">
        <v>238</v>
      </c>
      <c r="D221" s="12" t="s">
        <v>48</v>
      </c>
      <c r="E221" s="12">
        <v>19.8</v>
      </c>
      <c r="F221" s="12">
        <v>19.8</v>
      </c>
      <c r="G221" s="12" t="s">
        <v>110</v>
      </c>
      <c r="H221" s="12">
        <v>59.8</v>
      </c>
      <c r="I221" s="12">
        <f t="shared" si="9"/>
        <v>0</v>
      </c>
      <c r="J221" s="13" t="str">
        <f t="shared" si="10"/>
        <v>F</v>
      </c>
      <c r="K221" s="14" t="str">
        <f t="shared" si="11"/>
        <v>Qoniqarsiz</v>
      </c>
    </row>
    <row r="222" spans="1:11" ht="15.75" customHeight="1" x14ac:dyDescent="0.25">
      <c r="A222" s="10">
        <v>210</v>
      </c>
      <c r="B222" s="11" t="s">
        <v>271</v>
      </c>
      <c r="C222" s="11" t="s">
        <v>238</v>
      </c>
      <c r="D222" s="12">
        <v>38.19</v>
      </c>
      <c r="E222" s="12">
        <v>17.82</v>
      </c>
      <c r="F222" s="12">
        <v>56.01</v>
      </c>
      <c r="G222" s="12" t="s">
        <v>41</v>
      </c>
      <c r="H222" s="12">
        <v>68.010000000000005</v>
      </c>
      <c r="I222" s="12">
        <f t="shared" si="9"/>
        <v>2.5</v>
      </c>
      <c r="J222" s="13" t="str">
        <f t="shared" si="10"/>
        <v>C+</v>
      </c>
      <c r="K222" s="14" t="str">
        <f t="shared" si="11"/>
        <v>Qoniqarli</v>
      </c>
    </row>
    <row r="223" spans="1:11" ht="15.75" customHeight="1" x14ac:dyDescent="0.25">
      <c r="A223" s="10">
        <v>211</v>
      </c>
      <c r="B223" s="11" t="s">
        <v>272</v>
      </c>
      <c r="C223" s="11" t="s">
        <v>238</v>
      </c>
      <c r="D223" s="12">
        <v>39.4</v>
      </c>
      <c r="E223" s="12">
        <v>19.8</v>
      </c>
      <c r="F223" s="12">
        <v>59.2</v>
      </c>
      <c r="G223" s="12" t="s">
        <v>104</v>
      </c>
      <c r="H223" s="12">
        <v>89.2</v>
      </c>
      <c r="I223" s="12">
        <f t="shared" si="9"/>
        <v>3.5</v>
      </c>
      <c r="J223" s="13" t="str">
        <f t="shared" si="10"/>
        <v>B+</v>
      </c>
      <c r="K223" s="14" t="str">
        <f t="shared" si="11"/>
        <v>Yaxshi</v>
      </c>
    </row>
    <row r="224" spans="1:11" ht="15.75" customHeight="1" x14ac:dyDescent="0.25">
      <c r="A224" s="10">
        <v>212</v>
      </c>
      <c r="B224" s="11" t="s">
        <v>273</v>
      </c>
      <c r="C224" s="11" t="s">
        <v>238</v>
      </c>
      <c r="D224" s="12">
        <v>34.17</v>
      </c>
      <c r="E224" s="12">
        <v>19.8</v>
      </c>
      <c r="F224" s="12">
        <v>53.97</v>
      </c>
      <c r="G224" s="12" t="s">
        <v>64</v>
      </c>
      <c r="H224" s="12">
        <v>69.97</v>
      </c>
      <c r="I224" s="12">
        <f t="shared" si="9"/>
        <v>2.5</v>
      </c>
      <c r="J224" s="13" t="str">
        <f t="shared" si="10"/>
        <v>C+</v>
      </c>
      <c r="K224" s="14" t="str">
        <f t="shared" si="11"/>
        <v>Qoniqarli</v>
      </c>
    </row>
    <row r="225" spans="1:11" ht="15.75" customHeight="1" x14ac:dyDescent="0.25">
      <c r="A225" s="10">
        <v>213</v>
      </c>
      <c r="B225" s="11" t="s">
        <v>274</v>
      </c>
      <c r="C225" s="11" t="s">
        <v>238</v>
      </c>
      <c r="D225" s="12">
        <v>39.4</v>
      </c>
      <c r="E225" s="12">
        <v>17.82</v>
      </c>
      <c r="F225" s="12">
        <v>57.22</v>
      </c>
      <c r="G225" s="12" t="s">
        <v>64</v>
      </c>
      <c r="H225" s="12">
        <v>73.22</v>
      </c>
      <c r="I225" s="12">
        <f t="shared" si="9"/>
        <v>3</v>
      </c>
      <c r="J225" s="13" t="str">
        <f t="shared" si="10"/>
        <v>B</v>
      </c>
      <c r="K225" s="14" t="str">
        <f t="shared" si="11"/>
        <v>Yaxshi</v>
      </c>
    </row>
    <row r="226" spans="1:11" ht="15.75" customHeight="1" x14ac:dyDescent="0.25">
      <c r="A226" s="10">
        <v>214</v>
      </c>
      <c r="B226" s="11" t="s">
        <v>275</v>
      </c>
      <c r="C226" s="11" t="s">
        <v>238</v>
      </c>
      <c r="D226" s="12">
        <v>37.79</v>
      </c>
      <c r="E226" s="12">
        <v>19.8</v>
      </c>
      <c r="F226" s="12">
        <v>57.59</v>
      </c>
      <c r="G226" s="12" t="s">
        <v>58</v>
      </c>
      <c r="H226" s="12">
        <v>85.59</v>
      </c>
      <c r="I226" s="12">
        <f t="shared" si="9"/>
        <v>3.5</v>
      </c>
      <c r="J226" s="13" t="str">
        <f t="shared" si="10"/>
        <v>B+</v>
      </c>
      <c r="K226" s="14" t="str">
        <f t="shared" si="11"/>
        <v>Yaxshi</v>
      </c>
    </row>
    <row r="227" spans="1:11" ht="15.75" customHeight="1" x14ac:dyDescent="0.25">
      <c r="A227" s="10">
        <v>215</v>
      </c>
      <c r="B227" s="11" t="s">
        <v>276</v>
      </c>
      <c r="C227" s="11" t="s">
        <v>238</v>
      </c>
      <c r="D227" s="12">
        <v>38.99</v>
      </c>
      <c r="E227" s="12">
        <v>19.8</v>
      </c>
      <c r="F227" s="12">
        <v>58.79</v>
      </c>
      <c r="G227" s="12" t="s">
        <v>60</v>
      </c>
      <c r="H227" s="12">
        <v>90.79</v>
      </c>
      <c r="I227" s="12">
        <f t="shared" si="9"/>
        <v>4</v>
      </c>
      <c r="J227" s="13" t="str">
        <f t="shared" si="10"/>
        <v>A</v>
      </c>
      <c r="K227" s="14" t="str">
        <f t="shared" si="11"/>
        <v>Yaxshi</v>
      </c>
    </row>
    <row r="228" spans="1:11" ht="15.75" customHeight="1" x14ac:dyDescent="0.25">
      <c r="A228" s="10">
        <v>216</v>
      </c>
      <c r="B228" s="11" t="s">
        <v>277</v>
      </c>
      <c r="C228" s="11" t="s">
        <v>238</v>
      </c>
      <c r="D228" s="12">
        <v>37.39</v>
      </c>
      <c r="E228" s="12">
        <v>17.82</v>
      </c>
      <c r="F228" s="12">
        <v>55.21</v>
      </c>
      <c r="G228" s="12" t="s">
        <v>38</v>
      </c>
      <c r="H228" s="12">
        <v>79.209999999999994</v>
      </c>
      <c r="I228" s="12">
        <f t="shared" si="9"/>
        <v>3</v>
      </c>
      <c r="J228" s="13" t="str">
        <f t="shared" si="10"/>
        <v>B</v>
      </c>
      <c r="K228" s="14" t="str">
        <f t="shared" si="11"/>
        <v>Yaxshi</v>
      </c>
    </row>
    <row r="229" spans="1:11" ht="15.75" customHeight="1" x14ac:dyDescent="0.25">
      <c r="A229" s="10">
        <v>217</v>
      </c>
      <c r="B229" s="11" t="s">
        <v>278</v>
      </c>
      <c r="C229" s="11" t="s">
        <v>238</v>
      </c>
      <c r="D229" s="12">
        <v>30.55</v>
      </c>
      <c r="E229" s="12">
        <v>19.8</v>
      </c>
      <c r="F229" s="12">
        <v>50.35</v>
      </c>
      <c r="G229" s="12" t="s">
        <v>48</v>
      </c>
      <c r="H229" s="12">
        <v>50.35</v>
      </c>
      <c r="I229" s="12">
        <f t="shared" si="9"/>
        <v>0</v>
      </c>
      <c r="J229" s="13" t="str">
        <f t="shared" si="10"/>
        <v>F</v>
      </c>
      <c r="K229" s="14" t="str">
        <f t="shared" si="11"/>
        <v>Qoniqarsiz</v>
      </c>
    </row>
    <row r="230" spans="1:11" ht="15.75" customHeight="1" x14ac:dyDescent="0.25">
      <c r="A230" s="10">
        <v>218</v>
      </c>
      <c r="B230" s="11" t="s">
        <v>279</v>
      </c>
      <c r="C230" s="11" t="s">
        <v>238</v>
      </c>
      <c r="D230" s="12">
        <v>32.56</v>
      </c>
      <c r="E230" s="12">
        <v>12.87</v>
      </c>
      <c r="F230" s="12">
        <v>45.43</v>
      </c>
      <c r="G230" s="12" t="s">
        <v>55</v>
      </c>
      <c r="H230" s="12">
        <v>71.430000000000007</v>
      </c>
      <c r="I230" s="12">
        <f t="shared" si="9"/>
        <v>3</v>
      </c>
      <c r="J230" s="13" t="str">
        <f t="shared" si="10"/>
        <v>B</v>
      </c>
      <c r="K230" s="14" t="str">
        <f t="shared" si="11"/>
        <v>Yaxshi</v>
      </c>
    </row>
    <row r="231" spans="1:11" ht="15.75" customHeight="1" x14ac:dyDescent="0.25">
      <c r="A231" s="10">
        <v>219</v>
      </c>
      <c r="B231" s="11" t="s">
        <v>280</v>
      </c>
      <c r="C231" s="11" t="s">
        <v>238</v>
      </c>
      <c r="D231" s="12">
        <v>37.79</v>
      </c>
      <c r="E231" s="12">
        <v>17.82</v>
      </c>
      <c r="F231" s="12">
        <v>55.61</v>
      </c>
      <c r="G231" s="12" t="s">
        <v>36</v>
      </c>
      <c r="H231" s="12">
        <v>73.61</v>
      </c>
      <c r="I231" s="12">
        <f t="shared" si="9"/>
        <v>3</v>
      </c>
      <c r="J231" s="13" t="str">
        <f t="shared" si="10"/>
        <v>B</v>
      </c>
      <c r="K231" s="14" t="str">
        <f t="shared" si="11"/>
        <v>Yaxshi</v>
      </c>
    </row>
    <row r="232" spans="1:11" ht="15.75" customHeight="1" x14ac:dyDescent="0.25">
      <c r="A232" s="10">
        <v>220</v>
      </c>
      <c r="B232" s="11" t="s">
        <v>281</v>
      </c>
      <c r="C232" s="11" t="s">
        <v>238</v>
      </c>
      <c r="D232" s="12">
        <v>39.4</v>
      </c>
      <c r="E232" s="12">
        <v>18.809999999999999</v>
      </c>
      <c r="F232" s="12">
        <v>58.21</v>
      </c>
      <c r="G232" s="12" t="s">
        <v>66</v>
      </c>
      <c r="H232" s="12">
        <v>96.21</v>
      </c>
      <c r="I232" s="12">
        <f t="shared" si="9"/>
        <v>4.5</v>
      </c>
      <c r="J232" s="13" t="str">
        <f t="shared" si="10"/>
        <v>A+</v>
      </c>
      <c r="K232" s="14" t="str">
        <f t="shared" si="11"/>
        <v>Yaxshi</v>
      </c>
    </row>
    <row r="233" spans="1:11" ht="15.75" customHeight="1" x14ac:dyDescent="0.25">
      <c r="A233" s="10">
        <v>221</v>
      </c>
      <c r="B233" s="11" t="s">
        <v>282</v>
      </c>
      <c r="C233" s="11" t="s">
        <v>238</v>
      </c>
      <c r="D233" s="12">
        <v>36.979999999999997</v>
      </c>
      <c r="E233" s="12">
        <v>18.809999999999999</v>
      </c>
      <c r="F233" s="12">
        <v>55.79</v>
      </c>
      <c r="G233" s="12" t="s">
        <v>60</v>
      </c>
      <c r="H233" s="12">
        <v>87.79</v>
      </c>
      <c r="I233" s="12">
        <f t="shared" si="9"/>
        <v>3.5</v>
      </c>
      <c r="J233" s="13" t="str">
        <f t="shared" si="10"/>
        <v>B+</v>
      </c>
      <c r="K233" s="14" t="str">
        <f t="shared" si="11"/>
        <v>Yaxshi</v>
      </c>
    </row>
    <row r="234" spans="1:11" ht="15.75" customHeight="1" x14ac:dyDescent="0.25">
      <c r="A234" s="10">
        <v>222</v>
      </c>
      <c r="B234" s="11" t="s">
        <v>283</v>
      </c>
      <c r="C234" s="11" t="s">
        <v>238</v>
      </c>
      <c r="D234" s="12">
        <v>28.54</v>
      </c>
      <c r="E234" s="12">
        <v>19.8</v>
      </c>
      <c r="F234" s="12">
        <v>48.34</v>
      </c>
      <c r="G234" s="12" t="s">
        <v>43</v>
      </c>
      <c r="H234" s="12">
        <v>62.34</v>
      </c>
      <c r="I234" s="12">
        <f t="shared" si="9"/>
        <v>2</v>
      </c>
      <c r="J234" s="13" t="str">
        <f t="shared" si="10"/>
        <v>C</v>
      </c>
      <c r="K234" s="14" t="str">
        <f t="shared" si="11"/>
        <v>Qoniqarli</v>
      </c>
    </row>
    <row r="235" spans="1:11" ht="15.75" customHeight="1" x14ac:dyDescent="0.25">
      <c r="A235" s="10">
        <v>223</v>
      </c>
      <c r="B235" s="11" t="s">
        <v>284</v>
      </c>
      <c r="C235" s="11" t="s">
        <v>238</v>
      </c>
      <c r="D235" s="12">
        <v>37.79</v>
      </c>
      <c r="E235" s="12">
        <v>19.8</v>
      </c>
      <c r="F235" s="12">
        <v>57.59</v>
      </c>
      <c r="G235" s="12" t="s">
        <v>104</v>
      </c>
      <c r="H235" s="12">
        <v>87.59</v>
      </c>
      <c r="I235" s="12">
        <f t="shared" si="9"/>
        <v>3.5</v>
      </c>
      <c r="J235" s="13" t="str">
        <f t="shared" si="10"/>
        <v>B+</v>
      </c>
      <c r="K235" s="14" t="str">
        <f t="shared" si="11"/>
        <v>Yaxshi</v>
      </c>
    </row>
    <row r="236" spans="1:11" ht="15.75" customHeight="1" x14ac:dyDescent="0.25">
      <c r="A236" s="10">
        <v>224</v>
      </c>
      <c r="B236" s="11" t="s">
        <v>285</v>
      </c>
      <c r="C236" s="11" t="s">
        <v>238</v>
      </c>
      <c r="D236" s="12">
        <v>23.32</v>
      </c>
      <c r="E236" s="12">
        <v>12.87</v>
      </c>
      <c r="F236" s="12">
        <v>36.19</v>
      </c>
      <c r="G236" s="12" t="s">
        <v>72</v>
      </c>
      <c r="H236" s="12">
        <v>58.19</v>
      </c>
      <c r="I236" s="12">
        <f t="shared" si="9"/>
        <v>0</v>
      </c>
      <c r="J236" s="13" t="str">
        <f t="shared" si="10"/>
        <v>F</v>
      </c>
      <c r="K236" s="14" t="str">
        <f t="shared" si="11"/>
        <v>Qoniqarsiz</v>
      </c>
    </row>
    <row r="237" spans="1:11" ht="15.75" customHeight="1" x14ac:dyDescent="0.25">
      <c r="A237" s="10">
        <v>225</v>
      </c>
      <c r="B237" s="11" t="s">
        <v>286</v>
      </c>
      <c r="C237" s="11" t="s">
        <v>238</v>
      </c>
      <c r="D237" s="12">
        <v>37.39</v>
      </c>
      <c r="E237" s="12">
        <v>19.8</v>
      </c>
      <c r="F237" s="12">
        <v>57.19</v>
      </c>
      <c r="G237" s="12" t="s">
        <v>72</v>
      </c>
      <c r="H237" s="12">
        <v>79.19</v>
      </c>
      <c r="I237" s="12">
        <f t="shared" si="9"/>
        <v>3</v>
      </c>
      <c r="J237" s="13" t="str">
        <f t="shared" si="10"/>
        <v>B</v>
      </c>
      <c r="K237" s="14" t="str">
        <f t="shared" si="11"/>
        <v>Yaxshi</v>
      </c>
    </row>
    <row r="238" spans="1:11" ht="15.75" customHeight="1" x14ac:dyDescent="0.25">
      <c r="A238" s="10">
        <v>226</v>
      </c>
      <c r="B238" s="11" t="s">
        <v>287</v>
      </c>
      <c r="C238" s="11" t="s">
        <v>238</v>
      </c>
      <c r="D238" s="12">
        <v>36.58</v>
      </c>
      <c r="E238" s="12">
        <v>19.8</v>
      </c>
      <c r="F238" s="12">
        <v>56.38</v>
      </c>
      <c r="G238" s="12" t="s">
        <v>36</v>
      </c>
      <c r="H238" s="12">
        <v>74.38</v>
      </c>
      <c r="I238" s="12">
        <f t="shared" si="9"/>
        <v>3</v>
      </c>
      <c r="J238" s="13" t="str">
        <f t="shared" si="10"/>
        <v>B</v>
      </c>
      <c r="K238" s="14" t="str">
        <f t="shared" si="11"/>
        <v>Yaxshi</v>
      </c>
    </row>
    <row r="239" spans="1:11" ht="15.75" customHeight="1" x14ac:dyDescent="0.25">
      <c r="A239" s="10">
        <v>227</v>
      </c>
      <c r="B239" s="11" t="s">
        <v>288</v>
      </c>
      <c r="C239" s="11" t="s">
        <v>238</v>
      </c>
      <c r="D239" s="12">
        <v>35.78</v>
      </c>
      <c r="E239" s="12">
        <v>17.82</v>
      </c>
      <c r="F239" s="12">
        <v>53.6</v>
      </c>
      <c r="G239" s="12" t="s">
        <v>55</v>
      </c>
      <c r="H239" s="12">
        <v>79.599999999999994</v>
      </c>
      <c r="I239" s="12">
        <f t="shared" si="9"/>
        <v>3</v>
      </c>
      <c r="J239" s="13" t="str">
        <f t="shared" si="10"/>
        <v>B</v>
      </c>
      <c r="K239" s="14" t="str">
        <f t="shared" si="11"/>
        <v>Yaxshi</v>
      </c>
    </row>
    <row r="240" spans="1:11" ht="15.75" customHeight="1" x14ac:dyDescent="0.25">
      <c r="A240" s="10">
        <v>228</v>
      </c>
      <c r="B240" s="11" t="s">
        <v>289</v>
      </c>
      <c r="C240" s="11" t="s">
        <v>238</v>
      </c>
      <c r="D240" s="12">
        <v>38.590000000000003</v>
      </c>
      <c r="E240" s="12">
        <v>17.82</v>
      </c>
      <c r="F240" s="12">
        <v>56.41</v>
      </c>
      <c r="G240" s="12" t="s">
        <v>48</v>
      </c>
      <c r="H240" s="12">
        <v>56.41</v>
      </c>
      <c r="I240" s="12">
        <f t="shared" si="9"/>
        <v>0</v>
      </c>
      <c r="J240" s="13" t="str">
        <f t="shared" si="10"/>
        <v>F</v>
      </c>
      <c r="K240" s="14" t="str">
        <f t="shared" si="11"/>
        <v>Qoniqarsiz</v>
      </c>
    </row>
    <row r="241" spans="1:11" ht="15.75" customHeight="1" x14ac:dyDescent="0.25">
      <c r="A241" s="10">
        <v>229</v>
      </c>
      <c r="B241" s="11" t="s">
        <v>290</v>
      </c>
      <c r="C241" s="11" t="s">
        <v>238</v>
      </c>
      <c r="D241" s="12">
        <v>32.96</v>
      </c>
      <c r="E241" s="12">
        <v>18.809999999999999</v>
      </c>
      <c r="F241" s="12">
        <v>51.77</v>
      </c>
      <c r="G241" s="12" t="s">
        <v>150</v>
      </c>
      <c r="H241" s="12">
        <v>59.77</v>
      </c>
      <c r="I241" s="12">
        <f t="shared" si="9"/>
        <v>0</v>
      </c>
      <c r="J241" s="13" t="str">
        <f t="shared" si="10"/>
        <v>F</v>
      </c>
      <c r="K241" s="14" t="str">
        <f t="shared" si="11"/>
        <v>Qoniqarsiz</v>
      </c>
    </row>
    <row r="242" spans="1:11" ht="15.75" customHeight="1" x14ac:dyDescent="0.25">
      <c r="A242" s="10">
        <v>230</v>
      </c>
      <c r="B242" s="11" t="s">
        <v>291</v>
      </c>
      <c r="C242" s="11" t="s">
        <v>292</v>
      </c>
      <c r="D242" s="12">
        <v>36.979999999999997</v>
      </c>
      <c r="E242" s="12">
        <v>16.829999999999998</v>
      </c>
      <c r="F242" s="12">
        <v>53.81</v>
      </c>
      <c r="G242" s="12" t="s">
        <v>43</v>
      </c>
      <c r="H242" s="12">
        <v>67.81</v>
      </c>
      <c r="I242" s="12">
        <f t="shared" si="9"/>
        <v>2.5</v>
      </c>
      <c r="J242" s="13" t="str">
        <f t="shared" si="10"/>
        <v>C+</v>
      </c>
      <c r="K242" s="14" t="str">
        <f t="shared" si="11"/>
        <v>Qoniqarli</v>
      </c>
    </row>
    <row r="243" spans="1:11" ht="15.75" customHeight="1" x14ac:dyDescent="0.25">
      <c r="A243" s="10">
        <v>231</v>
      </c>
      <c r="B243" s="11" t="s">
        <v>293</v>
      </c>
      <c r="C243" s="11" t="s">
        <v>292</v>
      </c>
      <c r="D243" s="12">
        <v>30.95</v>
      </c>
      <c r="E243" s="12">
        <v>14.85</v>
      </c>
      <c r="F243" s="12">
        <v>45.8</v>
      </c>
      <c r="G243" s="12" t="s">
        <v>43</v>
      </c>
      <c r="H243" s="12">
        <v>59.8</v>
      </c>
      <c r="I243" s="12">
        <f t="shared" si="9"/>
        <v>0</v>
      </c>
      <c r="J243" s="13" t="str">
        <f t="shared" si="10"/>
        <v>F</v>
      </c>
      <c r="K243" s="14" t="str">
        <f t="shared" si="11"/>
        <v>Qoniqarsiz</v>
      </c>
    </row>
    <row r="244" spans="1:11" ht="15.75" customHeight="1" x14ac:dyDescent="0.25">
      <c r="A244" s="10">
        <v>232</v>
      </c>
      <c r="B244" s="11" t="s">
        <v>294</v>
      </c>
      <c r="C244" s="11" t="s">
        <v>292</v>
      </c>
      <c r="D244" s="12">
        <v>36.979999999999997</v>
      </c>
      <c r="E244" s="12">
        <v>18.809999999999999</v>
      </c>
      <c r="F244" s="12">
        <v>55.79</v>
      </c>
      <c r="G244" s="12" t="s">
        <v>45</v>
      </c>
      <c r="H244" s="12">
        <v>75.790000000000006</v>
      </c>
      <c r="I244" s="12">
        <f t="shared" si="9"/>
        <v>3</v>
      </c>
      <c r="J244" s="13" t="str">
        <f t="shared" si="10"/>
        <v>B</v>
      </c>
      <c r="K244" s="14" t="str">
        <f t="shared" si="11"/>
        <v>Yaxshi</v>
      </c>
    </row>
    <row r="245" spans="1:11" ht="15.75" customHeight="1" x14ac:dyDescent="0.25">
      <c r="A245" s="10">
        <v>233</v>
      </c>
      <c r="B245" s="11" t="s">
        <v>295</v>
      </c>
      <c r="C245" s="11" t="s">
        <v>292</v>
      </c>
      <c r="D245" s="12">
        <v>32.96</v>
      </c>
      <c r="E245" s="12">
        <v>16.829999999999998</v>
      </c>
      <c r="F245" s="12">
        <v>49.79</v>
      </c>
      <c r="G245" s="12" t="s">
        <v>43</v>
      </c>
      <c r="H245" s="12">
        <v>63.79</v>
      </c>
      <c r="I245" s="12">
        <f t="shared" si="9"/>
        <v>2</v>
      </c>
      <c r="J245" s="13" t="str">
        <f t="shared" si="10"/>
        <v>C</v>
      </c>
      <c r="K245" s="14" t="str">
        <f t="shared" si="11"/>
        <v>Qoniqarli</v>
      </c>
    </row>
    <row r="246" spans="1:11" ht="15.75" customHeight="1" x14ac:dyDescent="0.25">
      <c r="A246" s="10">
        <v>234</v>
      </c>
      <c r="B246" s="11" t="s">
        <v>296</v>
      </c>
      <c r="C246" s="11" t="s">
        <v>292</v>
      </c>
      <c r="D246" s="12">
        <v>33.770000000000003</v>
      </c>
      <c r="E246" s="12">
        <v>14.85</v>
      </c>
      <c r="F246" s="12">
        <v>48.62</v>
      </c>
      <c r="G246" s="12" t="s">
        <v>48</v>
      </c>
      <c r="H246" s="12">
        <v>48.62</v>
      </c>
      <c r="I246" s="12">
        <f t="shared" si="9"/>
        <v>0</v>
      </c>
      <c r="J246" s="13" t="str">
        <f t="shared" si="10"/>
        <v>F</v>
      </c>
      <c r="K246" s="14" t="str">
        <f t="shared" si="11"/>
        <v>Qoniqarsiz</v>
      </c>
    </row>
    <row r="247" spans="1:11" ht="15.75" customHeight="1" x14ac:dyDescent="0.25">
      <c r="A247" s="10">
        <v>235</v>
      </c>
      <c r="B247" s="11" t="s">
        <v>297</v>
      </c>
      <c r="C247" s="11" t="s">
        <v>292</v>
      </c>
      <c r="D247" s="12">
        <v>34.97</v>
      </c>
      <c r="E247" s="12">
        <v>13.86</v>
      </c>
      <c r="F247" s="12">
        <v>48.83</v>
      </c>
      <c r="G247" s="12" t="s">
        <v>48</v>
      </c>
      <c r="H247" s="12">
        <v>48.83</v>
      </c>
      <c r="I247" s="12">
        <f t="shared" si="9"/>
        <v>0</v>
      </c>
      <c r="J247" s="13" t="str">
        <f t="shared" si="10"/>
        <v>F</v>
      </c>
      <c r="K247" s="14" t="str">
        <f t="shared" si="11"/>
        <v>Qoniqarsiz</v>
      </c>
    </row>
    <row r="248" spans="1:11" ht="15.75" customHeight="1" x14ac:dyDescent="0.25">
      <c r="A248" s="10">
        <v>236</v>
      </c>
      <c r="B248" s="11" t="s">
        <v>298</v>
      </c>
      <c r="C248" s="11" t="s">
        <v>292</v>
      </c>
      <c r="D248" s="12">
        <v>35.78</v>
      </c>
      <c r="E248" s="12">
        <v>17.82</v>
      </c>
      <c r="F248" s="12">
        <v>53.6</v>
      </c>
      <c r="G248" s="12" t="s">
        <v>41</v>
      </c>
      <c r="H248" s="12">
        <v>65.599999999999994</v>
      </c>
      <c r="I248" s="12">
        <f t="shared" si="9"/>
        <v>2.5</v>
      </c>
      <c r="J248" s="13" t="str">
        <f t="shared" si="10"/>
        <v>C+</v>
      </c>
      <c r="K248" s="14" t="str">
        <f t="shared" si="11"/>
        <v>Qoniqarli</v>
      </c>
    </row>
    <row r="249" spans="1:11" ht="15.75" customHeight="1" x14ac:dyDescent="0.25">
      <c r="A249" s="10">
        <v>237</v>
      </c>
      <c r="B249" s="11" t="s">
        <v>299</v>
      </c>
      <c r="C249" s="11" t="s">
        <v>292</v>
      </c>
      <c r="D249" s="12">
        <v>35.78</v>
      </c>
      <c r="E249" s="12">
        <v>19.8</v>
      </c>
      <c r="F249" s="12">
        <v>55.58</v>
      </c>
      <c r="G249" s="12" t="s">
        <v>45</v>
      </c>
      <c r="H249" s="12">
        <v>75.58</v>
      </c>
      <c r="I249" s="12">
        <f t="shared" si="9"/>
        <v>3</v>
      </c>
      <c r="J249" s="13" t="str">
        <f t="shared" si="10"/>
        <v>B</v>
      </c>
      <c r="K249" s="14" t="str">
        <f t="shared" si="11"/>
        <v>Yaxshi</v>
      </c>
    </row>
    <row r="250" spans="1:11" ht="15.75" customHeight="1" x14ac:dyDescent="0.25">
      <c r="A250" s="10">
        <v>238</v>
      </c>
      <c r="B250" s="11" t="s">
        <v>300</v>
      </c>
      <c r="C250" s="11" t="s">
        <v>292</v>
      </c>
      <c r="D250" s="12">
        <v>30.95</v>
      </c>
      <c r="E250" s="12">
        <v>18.809999999999999</v>
      </c>
      <c r="F250" s="12">
        <v>49.76</v>
      </c>
      <c r="G250" s="12" t="s">
        <v>72</v>
      </c>
      <c r="H250" s="12">
        <v>71.760000000000005</v>
      </c>
      <c r="I250" s="12">
        <f t="shared" si="9"/>
        <v>3</v>
      </c>
      <c r="J250" s="13" t="str">
        <f t="shared" si="10"/>
        <v>B</v>
      </c>
      <c r="K250" s="14" t="str">
        <f t="shared" si="11"/>
        <v>Yaxshi</v>
      </c>
    </row>
    <row r="251" spans="1:11" ht="15.75" customHeight="1" x14ac:dyDescent="0.25">
      <c r="A251" s="10">
        <v>239</v>
      </c>
      <c r="B251" s="11" t="s">
        <v>301</v>
      </c>
      <c r="C251" s="11" t="s">
        <v>292</v>
      </c>
      <c r="D251" s="12">
        <v>20.100000000000001</v>
      </c>
      <c r="E251" s="12">
        <v>11.88</v>
      </c>
      <c r="F251" s="12">
        <v>31.98</v>
      </c>
      <c r="G251" s="12" t="s">
        <v>45</v>
      </c>
      <c r="H251" s="12">
        <v>51.98</v>
      </c>
      <c r="I251" s="12">
        <f t="shared" si="9"/>
        <v>0</v>
      </c>
      <c r="J251" s="13" t="str">
        <f t="shared" si="10"/>
        <v>F</v>
      </c>
      <c r="K251" s="14" t="str">
        <f t="shared" si="11"/>
        <v>Qoniqarsiz</v>
      </c>
    </row>
    <row r="252" spans="1:11" ht="15.75" customHeight="1" x14ac:dyDescent="0.25">
      <c r="A252" s="10">
        <v>240</v>
      </c>
      <c r="B252" s="11" t="s">
        <v>302</v>
      </c>
      <c r="C252" s="11" t="s">
        <v>292</v>
      </c>
      <c r="D252" s="12" t="s">
        <v>48</v>
      </c>
      <c r="E252" s="12" t="s">
        <v>48</v>
      </c>
      <c r="F252" s="12" t="s">
        <v>48</v>
      </c>
      <c r="G252" s="12" t="s">
        <v>48</v>
      </c>
      <c r="H252" s="12" t="s">
        <v>48</v>
      </c>
      <c r="I252" s="12">
        <f t="shared" si="9"/>
        <v>0</v>
      </c>
      <c r="J252" s="13" t="str">
        <f t="shared" si="10"/>
        <v>F</v>
      </c>
      <c r="K252" s="14" t="str">
        <f t="shared" si="11"/>
        <v>Qoniqarsiz</v>
      </c>
    </row>
    <row r="253" spans="1:11" ht="15.75" customHeight="1" x14ac:dyDescent="0.25">
      <c r="A253" s="10">
        <v>241</v>
      </c>
      <c r="B253" s="11" t="s">
        <v>303</v>
      </c>
      <c r="C253" s="11" t="s">
        <v>292</v>
      </c>
      <c r="D253" s="12" t="s">
        <v>48</v>
      </c>
      <c r="E253" s="12">
        <v>11.88</v>
      </c>
      <c r="F253" s="12">
        <v>11.88</v>
      </c>
      <c r="G253" s="12" t="s">
        <v>48</v>
      </c>
      <c r="H253" s="12">
        <v>11.88</v>
      </c>
      <c r="I253" s="12">
        <f t="shared" si="9"/>
        <v>0</v>
      </c>
      <c r="J253" s="13" t="str">
        <f t="shared" si="10"/>
        <v>F</v>
      </c>
      <c r="K253" s="14" t="str">
        <f t="shared" si="11"/>
        <v>Qoniqarsiz</v>
      </c>
    </row>
    <row r="254" spans="1:11" ht="15.75" customHeight="1" x14ac:dyDescent="0.25">
      <c r="A254" s="10">
        <v>242</v>
      </c>
      <c r="B254" s="11" t="s">
        <v>304</v>
      </c>
      <c r="C254" s="11" t="s">
        <v>292</v>
      </c>
      <c r="D254" s="12">
        <v>18.89</v>
      </c>
      <c r="E254" s="12">
        <v>16.829999999999998</v>
      </c>
      <c r="F254" s="12">
        <v>35.72</v>
      </c>
      <c r="G254" s="12" t="s">
        <v>48</v>
      </c>
      <c r="H254" s="12">
        <v>35.72</v>
      </c>
      <c r="I254" s="12">
        <f t="shared" si="9"/>
        <v>0</v>
      </c>
      <c r="J254" s="13" t="str">
        <f t="shared" si="10"/>
        <v>F</v>
      </c>
      <c r="K254" s="14" t="str">
        <f t="shared" si="11"/>
        <v>Qoniqarsiz</v>
      </c>
    </row>
    <row r="255" spans="1:11" ht="15.75" customHeight="1" x14ac:dyDescent="0.25">
      <c r="A255" s="10">
        <v>243</v>
      </c>
      <c r="B255" s="11" t="s">
        <v>305</v>
      </c>
      <c r="C255" s="11" t="s">
        <v>292</v>
      </c>
      <c r="D255" s="12">
        <v>35.380000000000003</v>
      </c>
      <c r="E255" s="12">
        <v>14.85</v>
      </c>
      <c r="F255" s="12">
        <v>50.23</v>
      </c>
      <c r="G255" s="12" t="s">
        <v>45</v>
      </c>
      <c r="H255" s="12">
        <v>70.23</v>
      </c>
      <c r="I255" s="12">
        <f t="shared" si="9"/>
        <v>3</v>
      </c>
      <c r="J255" s="13" t="str">
        <f t="shared" si="10"/>
        <v>B</v>
      </c>
      <c r="K255" s="14" t="str">
        <f t="shared" si="11"/>
        <v>Yaxshi</v>
      </c>
    </row>
    <row r="256" spans="1:11" ht="15.75" customHeight="1" x14ac:dyDescent="0.25">
      <c r="A256" s="10">
        <v>244</v>
      </c>
      <c r="B256" s="11" t="s">
        <v>306</v>
      </c>
      <c r="C256" s="11" t="s">
        <v>292</v>
      </c>
      <c r="D256" s="12">
        <v>2.0099999999999998</v>
      </c>
      <c r="E256" s="12">
        <v>18.809999999999999</v>
      </c>
      <c r="F256" s="12">
        <v>20.82</v>
      </c>
      <c r="G256" s="12" t="s">
        <v>60</v>
      </c>
      <c r="H256" s="12">
        <v>52.82</v>
      </c>
      <c r="I256" s="12">
        <f t="shared" si="9"/>
        <v>0</v>
      </c>
      <c r="J256" s="13" t="str">
        <f t="shared" si="10"/>
        <v>F</v>
      </c>
      <c r="K256" s="14" t="str">
        <f t="shared" si="11"/>
        <v>Qoniqarsiz</v>
      </c>
    </row>
    <row r="257" spans="1:11" ht="15.75" customHeight="1" x14ac:dyDescent="0.25">
      <c r="A257" s="10">
        <v>245</v>
      </c>
      <c r="B257" s="11" t="s">
        <v>307</v>
      </c>
      <c r="C257" s="11" t="s">
        <v>292</v>
      </c>
      <c r="D257" s="12" t="s">
        <v>48</v>
      </c>
      <c r="E257" s="12" t="s">
        <v>48</v>
      </c>
      <c r="F257" s="12" t="s">
        <v>48</v>
      </c>
      <c r="G257" s="12" t="s">
        <v>48</v>
      </c>
      <c r="H257" s="12" t="s">
        <v>48</v>
      </c>
      <c r="I257" s="12">
        <f t="shared" si="9"/>
        <v>0</v>
      </c>
      <c r="J257" s="13" t="str">
        <f t="shared" si="10"/>
        <v>F</v>
      </c>
      <c r="K257" s="14" t="str">
        <f t="shared" si="11"/>
        <v>Qoniqarsiz</v>
      </c>
    </row>
    <row r="258" spans="1:11" ht="15.75" customHeight="1" x14ac:dyDescent="0.25">
      <c r="A258" s="10">
        <v>246</v>
      </c>
      <c r="B258" s="11" t="s">
        <v>308</v>
      </c>
      <c r="C258" s="11" t="s">
        <v>292</v>
      </c>
      <c r="D258" s="12">
        <v>36.18</v>
      </c>
      <c r="E258" s="12">
        <v>14.85</v>
      </c>
      <c r="F258" s="12">
        <v>51.03</v>
      </c>
      <c r="G258" s="12" t="s">
        <v>36</v>
      </c>
      <c r="H258" s="12">
        <v>69.03</v>
      </c>
      <c r="I258" s="12">
        <f t="shared" si="9"/>
        <v>2.5</v>
      </c>
      <c r="J258" s="13" t="str">
        <f t="shared" si="10"/>
        <v>C+</v>
      </c>
      <c r="K258" s="14" t="str">
        <f t="shared" si="11"/>
        <v>Qoniqarli</v>
      </c>
    </row>
    <row r="259" spans="1:11" ht="15.75" customHeight="1" x14ac:dyDescent="0.25">
      <c r="A259" s="10">
        <v>247</v>
      </c>
      <c r="B259" s="11" t="s">
        <v>309</v>
      </c>
      <c r="C259" s="11" t="s">
        <v>292</v>
      </c>
      <c r="D259" s="12">
        <v>35.78</v>
      </c>
      <c r="E259" s="12">
        <v>12.87</v>
      </c>
      <c r="F259" s="12">
        <v>48.65</v>
      </c>
      <c r="G259" s="12" t="s">
        <v>58</v>
      </c>
      <c r="H259" s="12">
        <v>76.650000000000006</v>
      </c>
      <c r="I259" s="12">
        <f t="shared" si="9"/>
        <v>3</v>
      </c>
      <c r="J259" s="13" t="str">
        <f t="shared" si="10"/>
        <v>B</v>
      </c>
      <c r="K259" s="14" t="str">
        <f t="shared" si="11"/>
        <v>Yaxshi</v>
      </c>
    </row>
    <row r="260" spans="1:11" ht="15.75" customHeight="1" x14ac:dyDescent="0.25">
      <c r="A260" s="10">
        <v>248</v>
      </c>
      <c r="B260" s="11" t="s">
        <v>310</v>
      </c>
      <c r="C260" s="11" t="s">
        <v>292</v>
      </c>
      <c r="D260" s="12">
        <v>36.979999999999997</v>
      </c>
      <c r="E260" s="12">
        <v>18.809999999999999</v>
      </c>
      <c r="F260" s="12">
        <v>55.79</v>
      </c>
      <c r="G260" s="12" t="s">
        <v>55</v>
      </c>
      <c r="H260" s="12">
        <v>81.790000000000006</v>
      </c>
      <c r="I260" s="12">
        <f t="shared" si="9"/>
        <v>3.5</v>
      </c>
      <c r="J260" s="13" t="str">
        <f t="shared" si="10"/>
        <v>B+</v>
      </c>
      <c r="K260" s="14" t="str">
        <f t="shared" si="11"/>
        <v>Yaxshi</v>
      </c>
    </row>
    <row r="261" spans="1:11" ht="15.75" customHeight="1" x14ac:dyDescent="0.25">
      <c r="A261" s="10">
        <v>249</v>
      </c>
      <c r="B261" s="11" t="s">
        <v>311</v>
      </c>
      <c r="C261" s="11" t="s">
        <v>292</v>
      </c>
      <c r="D261" s="12">
        <v>30.95</v>
      </c>
      <c r="E261" s="12">
        <v>14.85</v>
      </c>
      <c r="F261" s="12">
        <v>45.8</v>
      </c>
      <c r="G261" s="12" t="s">
        <v>64</v>
      </c>
      <c r="H261" s="12">
        <v>61.8</v>
      </c>
      <c r="I261" s="12">
        <f t="shared" si="9"/>
        <v>2</v>
      </c>
      <c r="J261" s="13" t="str">
        <f t="shared" si="10"/>
        <v>C</v>
      </c>
      <c r="K261" s="14" t="str">
        <f t="shared" si="11"/>
        <v>Qoniqarli</v>
      </c>
    </row>
    <row r="262" spans="1:11" ht="15.75" customHeight="1" x14ac:dyDescent="0.25">
      <c r="A262" s="10">
        <v>250</v>
      </c>
      <c r="B262" s="11" t="s">
        <v>312</v>
      </c>
      <c r="C262" s="11" t="s">
        <v>292</v>
      </c>
      <c r="D262" s="12">
        <v>34.57</v>
      </c>
      <c r="E262" s="12">
        <v>17.82</v>
      </c>
      <c r="F262" s="12">
        <v>52.39</v>
      </c>
      <c r="G262" s="12" t="s">
        <v>60</v>
      </c>
      <c r="H262" s="12">
        <v>84.39</v>
      </c>
      <c r="I262" s="12">
        <f t="shared" si="9"/>
        <v>3.5</v>
      </c>
      <c r="J262" s="13" t="str">
        <f t="shared" si="10"/>
        <v>B+</v>
      </c>
      <c r="K262" s="14" t="str">
        <f t="shared" si="11"/>
        <v>Yaxshi</v>
      </c>
    </row>
    <row r="263" spans="1:11" ht="15.75" customHeight="1" x14ac:dyDescent="0.25">
      <c r="A263" s="10">
        <v>251</v>
      </c>
      <c r="B263" s="11" t="s">
        <v>313</v>
      </c>
      <c r="C263" s="11" t="s">
        <v>292</v>
      </c>
      <c r="D263" s="12">
        <v>36.58</v>
      </c>
      <c r="E263" s="12">
        <v>17.82</v>
      </c>
      <c r="F263" s="12">
        <v>54.4</v>
      </c>
      <c r="G263" s="12" t="s">
        <v>48</v>
      </c>
      <c r="H263" s="12">
        <v>54.4</v>
      </c>
      <c r="I263" s="12">
        <f t="shared" si="9"/>
        <v>0</v>
      </c>
      <c r="J263" s="13" t="str">
        <f t="shared" si="10"/>
        <v>F</v>
      </c>
      <c r="K263" s="14" t="str">
        <f t="shared" si="11"/>
        <v>Qoniqarsiz</v>
      </c>
    </row>
    <row r="264" spans="1:11" ht="15.75" customHeight="1" x14ac:dyDescent="0.25">
      <c r="A264" s="10">
        <v>252</v>
      </c>
      <c r="B264" s="11" t="s">
        <v>314</v>
      </c>
      <c r="C264" s="11" t="s">
        <v>292</v>
      </c>
      <c r="D264" s="12">
        <v>32.96</v>
      </c>
      <c r="E264" s="12">
        <v>16.829999999999998</v>
      </c>
      <c r="F264" s="12">
        <v>49.79</v>
      </c>
      <c r="G264" s="12" t="s">
        <v>43</v>
      </c>
      <c r="H264" s="12">
        <v>63.79</v>
      </c>
      <c r="I264" s="12">
        <f t="shared" si="9"/>
        <v>2</v>
      </c>
      <c r="J264" s="13" t="str">
        <f t="shared" si="10"/>
        <v>C</v>
      </c>
      <c r="K264" s="14" t="str">
        <f t="shared" si="11"/>
        <v>Qoniqarli</v>
      </c>
    </row>
    <row r="265" spans="1:11" ht="15.75" customHeight="1" x14ac:dyDescent="0.25">
      <c r="A265" s="10">
        <v>253</v>
      </c>
      <c r="B265" s="11" t="s">
        <v>315</v>
      </c>
      <c r="C265" s="11" t="s">
        <v>292</v>
      </c>
      <c r="D265" s="12">
        <v>39.799999999999997</v>
      </c>
      <c r="E265" s="12">
        <v>18.809999999999999</v>
      </c>
      <c r="F265" s="12">
        <v>58.61</v>
      </c>
      <c r="G265" s="12" t="s">
        <v>72</v>
      </c>
      <c r="H265" s="12">
        <v>80.61</v>
      </c>
      <c r="I265" s="12">
        <f t="shared" si="9"/>
        <v>3.5</v>
      </c>
      <c r="J265" s="13" t="str">
        <f t="shared" si="10"/>
        <v>B+</v>
      </c>
      <c r="K265" s="14" t="str">
        <f t="shared" si="11"/>
        <v>Yaxshi</v>
      </c>
    </row>
    <row r="266" spans="1:11" ht="15.75" customHeight="1" x14ac:dyDescent="0.25">
      <c r="A266" s="10">
        <v>254</v>
      </c>
      <c r="B266" s="11" t="s">
        <v>316</v>
      </c>
      <c r="C266" s="11" t="s">
        <v>292</v>
      </c>
      <c r="D266" s="12">
        <v>36.979999999999997</v>
      </c>
      <c r="E266" s="12">
        <v>19.8</v>
      </c>
      <c r="F266" s="12">
        <v>56.78</v>
      </c>
      <c r="G266" s="12" t="s">
        <v>38</v>
      </c>
      <c r="H266" s="12">
        <v>80.78</v>
      </c>
      <c r="I266" s="12">
        <f t="shared" si="9"/>
        <v>3.5</v>
      </c>
      <c r="J266" s="13" t="str">
        <f t="shared" si="10"/>
        <v>B+</v>
      </c>
      <c r="K266" s="14" t="str">
        <f t="shared" si="11"/>
        <v>Yaxshi</v>
      </c>
    </row>
    <row r="267" spans="1:11" ht="15.75" customHeight="1" x14ac:dyDescent="0.25">
      <c r="A267" s="10">
        <v>255</v>
      </c>
      <c r="B267" s="11" t="s">
        <v>317</v>
      </c>
      <c r="C267" s="11" t="s">
        <v>292</v>
      </c>
      <c r="D267" s="12">
        <v>38.99</v>
      </c>
      <c r="E267" s="12">
        <v>18.809999999999999</v>
      </c>
      <c r="F267" s="12">
        <v>57.8</v>
      </c>
      <c r="G267" s="12" t="s">
        <v>72</v>
      </c>
      <c r="H267" s="12">
        <v>79.8</v>
      </c>
      <c r="I267" s="12">
        <f t="shared" si="9"/>
        <v>3</v>
      </c>
      <c r="J267" s="13" t="str">
        <f t="shared" si="10"/>
        <v>B</v>
      </c>
      <c r="K267" s="14" t="str">
        <f t="shared" si="11"/>
        <v>Yaxshi</v>
      </c>
    </row>
    <row r="268" spans="1:11" ht="15.75" customHeight="1" x14ac:dyDescent="0.25">
      <c r="A268" s="10">
        <v>256</v>
      </c>
      <c r="B268" s="11" t="s">
        <v>318</v>
      </c>
      <c r="C268" s="11" t="s">
        <v>292</v>
      </c>
      <c r="D268" s="12">
        <v>37.79</v>
      </c>
      <c r="E268" s="12">
        <v>19.8</v>
      </c>
      <c r="F268" s="12">
        <v>57.59</v>
      </c>
      <c r="G268" s="12" t="s">
        <v>58</v>
      </c>
      <c r="H268" s="12">
        <v>85.59</v>
      </c>
      <c r="I268" s="12">
        <f t="shared" si="9"/>
        <v>3.5</v>
      </c>
      <c r="J268" s="13" t="str">
        <f t="shared" si="10"/>
        <v>B+</v>
      </c>
      <c r="K268" s="14" t="str">
        <f t="shared" si="11"/>
        <v>Yaxshi</v>
      </c>
    </row>
    <row r="269" spans="1:11" ht="15.75" customHeight="1" x14ac:dyDescent="0.25">
      <c r="A269" s="10">
        <v>257</v>
      </c>
      <c r="B269" s="11" t="s">
        <v>319</v>
      </c>
      <c r="C269" s="11" t="s">
        <v>292</v>
      </c>
      <c r="D269" s="12" t="s">
        <v>48</v>
      </c>
      <c r="E269" s="12" t="s">
        <v>48</v>
      </c>
      <c r="F269" s="12" t="s">
        <v>48</v>
      </c>
      <c r="G269" s="12" t="s">
        <v>72</v>
      </c>
      <c r="H269" s="12" t="s">
        <v>72</v>
      </c>
      <c r="I269" s="12">
        <f t="shared" ref="I269:I297" si="12">IF(H269*1&gt;=95,4.5,IF(H269*1&gt;=90,4,IF(H269*1&gt;=80,3.5,IF(H269*1&gt;=70,3,IF(H269*1&gt;=65,2.5,IF(H269*1&gt;=60,2,0))))))</f>
        <v>0</v>
      </c>
      <c r="J269" s="13" t="str">
        <f t="shared" ref="J269:J297" si="13">IF(H269*1&gt;=95,"A+",IF(H269*1&gt;=90,"A",IF(H269*1&gt;=80,"B+",IF(H269*1&gt;=70,"B",IF(H269*1&gt;=65,"C+",IF(H269*1&gt;=60,"C","F"))))))</f>
        <v>F</v>
      </c>
      <c r="K269" s="14" t="str">
        <f t="shared" ref="K269:K297" si="14">IF(H269*1&gt;=70,"Yaxshi",IF(H269*1&gt;=60,"Qoniqarli","Qoniqarsiz"))</f>
        <v>Qoniqarsiz</v>
      </c>
    </row>
    <row r="270" spans="1:11" ht="15.75" customHeight="1" x14ac:dyDescent="0.25">
      <c r="A270" s="10">
        <v>258</v>
      </c>
      <c r="B270" s="11" t="s">
        <v>320</v>
      </c>
      <c r="C270" s="11" t="s">
        <v>292</v>
      </c>
      <c r="D270" s="12">
        <v>25.73</v>
      </c>
      <c r="E270" s="12">
        <v>16.829999999999998</v>
      </c>
      <c r="F270" s="12">
        <v>42.56</v>
      </c>
      <c r="G270" s="12" t="s">
        <v>55</v>
      </c>
      <c r="H270" s="12">
        <v>68.56</v>
      </c>
      <c r="I270" s="12">
        <f t="shared" si="12"/>
        <v>2.5</v>
      </c>
      <c r="J270" s="13" t="str">
        <f t="shared" si="13"/>
        <v>C+</v>
      </c>
      <c r="K270" s="14" t="str">
        <f t="shared" si="14"/>
        <v>Qoniqarli</v>
      </c>
    </row>
    <row r="271" spans="1:11" ht="15.75" customHeight="1" x14ac:dyDescent="0.25">
      <c r="A271" s="10">
        <v>259</v>
      </c>
      <c r="B271" s="11" t="s">
        <v>321</v>
      </c>
      <c r="C271" s="11" t="s">
        <v>292</v>
      </c>
      <c r="D271" s="12">
        <v>30.95</v>
      </c>
      <c r="E271" s="12">
        <v>13.86</v>
      </c>
      <c r="F271" s="12">
        <v>44.81</v>
      </c>
      <c r="G271" s="12" t="s">
        <v>55</v>
      </c>
      <c r="H271" s="12">
        <v>70.81</v>
      </c>
      <c r="I271" s="12">
        <f t="shared" si="12"/>
        <v>3</v>
      </c>
      <c r="J271" s="13" t="str">
        <f t="shared" si="13"/>
        <v>B</v>
      </c>
      <c r="K271" s="14" t="str">
        <f t="shared" si="14"/>
        <v>Yaxshi</v>
      </c>
    </row>
    <row r="272" spans="1:11" ht="15.75" customHeight="1" x14ac:dyDescent="0.25">
      <c r="A272" s="10">
        <v>260</v>
      </c>
      <c r="B272" s="11" t="s">
        <v>322</v>
      </c>
      <c r="C272" s="11" t="s">
        <v>292</v>
      </c>
      <c r="D272" s="12">
        <v>39.799999999999997</v>
      </c>
      <c r="E272" s="12">
        <v>19.8</v>
      </c>
      <c r="F272" s="12">
        <v>59.6</v>
      </c>
      <c r="G272" s="12" t="s">
        <v>41</v>
      </c>
      <c r="H272" s="12">
        <v>71.599999999999994</v>
      </c>
      <c r="I272" s="12">
        <f t="shared" si="12"/>
        <v>3</v>
      </c>
      <c r="J272" s="13" t="str">
        <f t="shared" si="13"/>
        <v>B</v>
      </c>
      <c r="K272" s="14" t="str">
        <f t="shared" si="14"/>
        <v>Yaxshi</v>
      </c>
    </row>
    <row r="273" spans="1:11" ht="15.75" customHeight="1" x14ac:dyDescent="0.25">
      <c r="A273" s="10">
        <v>261</v>
      </c>
      <c r="B273" s="11" t="s">
        <v>323</v>
      </c>
      <c r="C273" s="11" t="s">
        <v>292</v>
      </c>
      <c r="D273" s="12">
        <v>37.79</v>
      </c>
      <c r="E273" s="12">
        <v>18.809999999999999</v>
      </c>
      <c r="F273" s="12">
        <v>56.6</v>
      </c>
      <c r="G273" s="12" t="s">
        <v>36</v>
      </c>
      <c r="H273" s="12">
        <v>74.599999999999994</v>
      </c>
      <c r="I273" s="12">
        <f t="shared" si="12"/>
        <v>3</v>
      </c>
      <c r="J273" s="13" t="str">
        <f t="shared" si="13"/>
        <v>B</v>
      </c>
      <c r="K273" s="14" t="str">
        <f t="shared" si="14"/>
        <v>Yaxshi</v>
      </c>
    </row>
    <row r="274" spans="1:11" ht="15.75" customHeight="1" x14ac:dyDescent="0.25">
      <c r="A274" s="10">
        <v>262</v>
      </c>
      <c r="B274" s="11" t="s">
        <v>324</v>
      </c>
      <c r="C274" s="11" t="s">
        <v>292</v>
      </c>
      <c r="D274" s="12">
        <v>36.58</v>
      </c>
      <c r="E274" s="12">
        <v>16.829999999999998</v>
      </c>
      <c r="F274" s="12">
        <v>53.41</v>
      </c>
      <c r="G274" s="12" t="s">
        <v>45</v>
      </c>
      <c r="H274" s="12">
        <v>73.41</v>
      </c>
      <c r="I274" s="12">
        <f t="shared" si="12"/>
        <v>3</v>
      </c>
      <c r="J274" s="13" t="str">
        <f t="shared" si="13"/>
        <v>B</v>
      </c>
      <c r="K274" s="14" t="str">
        <f t="shared" si="14"/>
        <v>Yaxshi</v>
      </c>
    </row>
    <row r="275" spans="1:11" ht="15.75" customHeight="1" x14ac:dyDescent="0.25">
      <c r="A275" s="10">
        <v>263</v>
      </c>
      <c r="B275" s="11" t="s">
        <v>325</v>
      </c>
      <c r="C275" s="11" t="s">
        <v>292</v>
      </c>
      <c r="D275" s="12">
        <v>35.78</v>
      </c>
      <c r="E275" s="12">
        <v>17.82</v>
      </c>
      <c r="F275" s="12">
        <v>53.6</v>
      </c>
      <c r="G275" s="12" t="s">
        <v>38</v>
      </c>
      <c r="H275" s="12">
        <v>77.599999999999994</v>
      </c>
      <c r="I275" s="12">
        <f t="shared" si="12"/>
        <v>3</v>
      </c>
      <c r="J275" s="13" t="str">
        <f t="shared" si="13"/>
        <v>B</v>
      </c>
      <c r="K275" s="14" t="str">
        <f t="shared" si="14"/>
        <v>Yaxshi</v>
      </c>
    </row>
    <row r="276" spans="1:11" ht="15.75" customHeight="1" x14ac:dyDescent="0.25">
      <c r="A276" s="10">
        <v>264</v>
      </c>
      <c r="B276" s="11" t="s">
        <v>326</v>
      </c>
      <c r="C276" s="11" t="s">
        <v>292</v>
      </c>
      <c r="D276" s="12" t="s">
        <v>48</v>
      </c>
      <c r="E276" s="12" t="s">
        <v>48</v>
      </c>
      <c r="F276" s="12" t="s">
        <v>48</v>
      </c>
      <c r="G276" s="12" t="s">
        <v>48</v>
      </c>
      <c r="H276" s="12" t="s">
        <v>48</v>
      </c>
      <c r="I276" s="12">
        <f t="shared" si="12"/>
        <v>0</v>
      </c>
      <c r="J276" s="13" t="str">
        <f t="shared" si="13"/>
        <v>F</v>
      </c>
      <c r="K276" s="14" t="str">
        <f t="shared" si="14"/>
        <v>Qoniqarsiz</v>
      </c>
    </row>
    <row r="277" spans="1:11" ht="15.75" customHeight="1" x14ac:dyDescent="0.25">
      <c r="A277" s="10">
        <v>265</v>
      </c>
      <c r="B277" s="11" t="s">
        <v>327</v>
      </c>
      <c r="C277" s="11" t="s">
        <v>292</v>
      </c>
      <c r="D277" s="12">
        <v>24.52</v>
      </c>
      <c r="E277" s="12">
        <v>13.86</v>
      </c>
      <c r="F277" s="12">
        <v>38.380000000000003</v>
      </c>
      <c r="G277" s="12" t="s">
        <v>43</v>
      </c>
      <c r="H277" s="12">
        <v>52.38</v>
      </c>
      <c r="I277" s="12">
        <f t="shared" si="12"/>
        <v>0</v>
      </c>
      <c r="J277" s="13" t="str">
        <f t="shared" si="13"/>
        <v>F</v>
      </c>
      <c r="K277" s="14" t="str">
        <f t="shared" si="14"/>
        <v>Qoniqarsiz</v>
      </c>
    </row>
    <row r="278" spans="1:11" ht="15.75" customHeight="1" x14ac:dyDescent="0.25">
      <c r="A278" s="10">
        <v>266</v>
      </c>
      <c r="B278" s="11" t="s">
        <v>328</v>
      </c>
      <c r="C278" s="11" t="s">
        <v>292</v>
      </c>
      <c r="D278" s="12">
        <v>11.66</v>
      </c>
      <c r="E278" s="12">
        <v>16.829999999999998</v>
      </c>
      <c r="F278" s="12">
        <v>28.49</v>
      </c>
      <c r="G278" s="12" t="s">
        <v>64</v>
      </c>
      <c r="H278" s="12">
        <v>44.49</v>
      </c>
      <c r="I278" s="12">
        <f t="shared" si="12"/>
        <v>0</v>
      </c>
      <c r="J278" s="13" t="str">
        <f t="shared" si="13"/>
        <v>F</v>
      </c>
      <c r="K278" s="14" t="str">
        <f t="shared" si="14"/>
        <v>Qoniqarsiz</v>
      </c>
    </row>
    <row r="279" spans="1:11" ht="15.75" customHeight="1" x14ac:dyDescent="0.25">
      <c r="A279" s="10">
        <v>267</v>
      </c>
      <c r="B279" s="11" t="s">
        <v>329</v>
      </c>
      <c r="C279" s="11" t="s">
        <v>292</v>
      </c>
      <c r="D279" s="12">
        <v>38.19</v>
      </c>
      <c r="E279" s="12">
        <v>18.809999999999999</v>
      </c>
      <c r="F279" s="12" t="s">
        <v>330</v>
      </c>
      <c r="G279" s="12" t="s">
        <v>60</v>
      </c>
      <c r="H279" s="12" t="s">
        <v>331</v>
      </c>
      <c r="I279" s="12">
        <f t="shared" si="12"/>
        <v>3.5</v>
      </c>
      <c r="J279" s="13" t="str">
        <f t="shared" si="13"/>
        <v>B+</v>
      </c>
      <c r="K279" s="14" t="str">
        <f t="shared" si="14"/>
        <v>Yaxshi</v>
      </c>
    </row>
    <row r="280" spans="1:11" ht="15.75" customHeight="1" x14ac:dyDescent="0.25">
      <c r="A280" s="10">
        <v>268</v>
      </c>
      <c r="B280" s="11" t="s">
        <v>332</v>
      </c>
      <c r="C280" s="11" t="s">
        <v>292</v>
      </c>
      <c r="D280" s="12">
        <v>33.770000000000003</v>
      </c>
      <c r="E280" s="12">
        <v>16.829999999999998</v>
      </c>
      <c r="F280" s="12">
        <v>50.6</v>
      </c>
      <c r="G280" s="12" t="s">
        <v>38</v>
      </c>
      <c r="H280" s="12">
        <v>74.599999999999994</v>
      </c>
      <c r="I280" s="12">
        <f t="shared" si="12"/>
        <v>3</v>
      </c>
      <c r="J280" s="13" t="str">
        <f t="shared" si="13"/>
        <v>B</v>
      </c>
      <c r="K280" s="14" t="str">
        <f t="shared" si="14"/>
        <v>Yaxshi</v>
      </c>
    </row>
    <row r="281" spans="1:11" ht="15.75" customHeight="1" x14ac:dyDescent="0.25">
      <c r="A281" s="10">
        <v>269</v>
      </c>
      <c r="B281" s="11" t="s">
        <v>333</v>
      </c>
      <c r="C281" s="11" t="s">
        <v>292</v>
      </c>
      <c r="D281" s="12">
        <v>39.4</v>
      </c>
      <c r="E281" s="12">
        <v>19.8</v>
      </c>
      <c r="F281" s="12">
        <v>59.2</v>
      </c>
      <c r="G281" s="12" t="s">
        <v>60</v>
      </c>
      <c r="H281" s="12">
        <v>91.2</v>
      </c>
      <c r="I281" s="12">
        <f t="shared" si="12"/>
        <v>4</v>
      </c>
      <c r="J281" s="13" t="str">
        <f t="shared" si="13"/>
        <v>A</v>
      </c>
      <c r="K281" s="14" t="str">
        <f t="shared" si="14"/>
        <v>Yaxshi</v>
      </c>
    </row>
    <row r="282" spans="1:11" ht="15.75" customHeight="1" x14ac:dyDescent="0.25">
      <c r="A282" s="10">
        <v>270</v>
      </c>
      <c r="B282" s="11" t="s">
        <v>334</v>
      </c>
      <c r="C282" s="11" t="s">
        <v>292</v>
      </c>
      <c r="D282" s="12" t="s">
        <v>48</v>
      </c>
      <c r="E282" s="12" t="s">
        <v>48</v>
      </c>
      <c r="F282" s="12" t="s">
        <v>48</v>
      </c>
      <c r="G282" s="12" t="s">
        <v>48</v>
      </c>
      <c r="H282" s="12" t="s">
        <v>48</v>
      </c>
      <c r="I282" s="12">
        <f t="shared" si="12"/>
        <v>0</v>
      </c>
      <c r="J282" s="13" t="str">
        <f t="shared" si="13"/>
        <v>F</v>
      </c>
      <c r="K282" s="14" t="str">
        <f t="shared" si="14"/>
        <v>Qoniqarsiz</v>
      </c>
    </row>
    <row r="283" spans="1:11" ht="15.75" customHeight="1" x14ac:dyDescent="0.25">
      <c r="A283" s="10">
        <v>271</v>
      </c>
      <c r="B283" s="11" t="s">
        <v>335</v>
      </c>
      <c r="C283" s="11" t="s">
        <v>292</v>
      </c>
      <c r="D283" s="12" t="s">
        <v>48</v>
      </c>
      <c r="E283" s="12" t="s">
        <v>48</v>
      </c>
      <c r="F283" s="12" t="s">
        <v>48</v>
      </c>
      <c r="G283" s="12" t="s">
        <v>48</v>
      </c>
      <c r="H283" s="12" t="s">
        <v>48</v>
      </c>
      <c r="I283" s="12">
        <f t="shared" si="12"/>
        <v>0</v>
      </c>
      <c r="J283" s="13" t="str">
        <f t="shared" si="13"/>
        <v>F</v>
      </c>
      <c r="K283" s="14" t="str">
        <f t="shared" si="14"/>
        <v>Qoniqarsiz</v>
      </c>
    </row>
    <row r="284" spans="1:11" ht="15.75" customHeight="1" x14ac:dyDescent="0.25">
      <c r="A284" s="10">
        <v>272</v>
      </c>
      <c r="B284" s="11" t="s">
        <v>336</v>
      </c>
      <c r="C284" s="11" t="s">
        <v>292</v>
      </c>
      <c r="D284" s="12">
        <v>36.18</v>
      </c>
      <c r="E284" s="12">
        <v>17.82</v>
      </c>
      <c r="F284" s="12" t="s">
        <v>91</v>
      </c>
      <c r="G284" s="12" t="s">
        <v>104</v>
      </c>
      <c r="H284" s="12" t="s">
        <v>337</v>
      </c>
      <c r="I284" s="12">
        <f t="shared" si="12"/>
        <v>3.5</v>
      </c>
      <c r="J284" s="13" t="str">
        <f t="shared" si="13"/>
        <v>B+</v>
      </c>
      <c r="K284" s="14" t="str">
        <f t="shared" si="14"/>
        <v>Yaxshi</v>
      </c>
    </row>
    <row r="285" spans="1:11" ht="15.75" customHeight="1" x14ac:dyDescent="0.25">
      <c r="A285" s="10">
        <v>273</v>
      </c>
      <c r="B285" s="11" t="s">
        <v>338</v>
      </c>
      <c r="C285" s="11" t="s">
        <v>292</v>
      </c>
      <c r="D285" s="12">
        <v>37.79</v>
      </c>
      <c r="E285" s="12">
        <v>16.829999999999998</v>
      </c>
      <c r="F285" s="12">
        <v>54.62</v>
      </c>
      <c r="G285" s="12" t="s">
        <v>104</v>
      </c>
      <c r="H285" s="12">
        <v>84.62</v>
      </c>
      <c r="I285" s="12">
        <f t="shared" si="12"/>
        <v>3.5</v>
      </c>
      <c r="J285" s="13" t="str">
        <f t="shared" si="13"/>
        <v>B+</v>
      </c>
      <c r="K285" s="14" t="str">
        <f t="shared" si="14"/>
        <v>Yaxshi</v>
      </c>
    </row>
    <row r="286" spans="1:11" ht="15.75" customHeight="1" x14ac:dyDescent="0.25">
      <c r="A286" s="10">
        <v>274</v>
      </c>
      <c r="B286" s="11" t="s">
        <v>339</v>
      </c>
      <c r="C286" s="11" t="s">
        <v>292</v>
      </c>
      <c r="D286" s="12">
        <v>33.770000000000003</v>
      </c>
      <c r="E286" s="12">
        <v>15.84</v>
      </c>
      <c r="F286" s="12">
        <v>49.61</v>
      </c>
      <c r="G286" s="12" t="s">
        <v>43</v>
      </c>
      <c r="H286" s="12">
        <v>63.61</v>
      </c>
      <c r="I286" s="12">
        <f t="shared" si="12"/>
        <v>2</v>
      </c>
      <c r="J286" s="13" t="str">
        <f t="shared" si="13"/>
        <v>C</v>
      </c>
      <c r="K286" s="14" t="str">
        <f t="shared" si="14"/>
        <v>Qoniqarli</v>
      </c>
    </row>
    <row r="287" spans="1:11" ht="15.75" customHeight="1" x14ac:dyDescent="0.25">
      <c r="A287" s="10">
        <v>275</v>
      </c>
      <c r="B287" s="11" t="s">
        <v>340</v>
      </c>
      <c r="C287" s="11" t="s">
        <v>292</v>
      </c>
      <c r="D287" s="12" t="s">
        <v>48</v>
      </c>
      <c r="E287" s="12" t="s">
        <v>48</v>
      </c>
      <c r="F287" s="12" t="s">
        <v>48</v>
      </c>
      <c r="G287" s="12" t="s">
        <v>48</v>
      </c>
      <c r="H287" s="12" t="s">
        <v>48</v>
      </c>
      <c r="I287" s="12">
        <f t="shared" si="12"/>
        <v>0</v>
      </c>
      <c r="J287" s="13" t="str">
        <f t="shared" si="13"/>
        <v>F</v>
      </c>
      <c r="K287" s="14" t="str">
        <f t="shared" si="14"/>
        <v>Qoniqarsiz</v>
      </c>
    </row>
    <row r="288" spans="1:11" ht="15.75" customHeight="1" x14ac:dyDescent="0.25">
      <c r="A288" s="10">
        <v>276</v>
      </c>
      <c r="B288" s="11" t="s">
        <v>341</v>
      </c>
      <c r="C288" s="11" t="s">
        <v>292</v>
      </c>
      <c r="D288" s="12">
        <v>32.56</v>
      </c>
      <c r="E288" s="12">
        <v>16.829999999999998</v>
      </c>
      <c r="F288" s="12">
        <v>49.39</v>
      </c>
      <c r="G288" s="12" t="s">
        <v>58</v>
      </c>
      <c r="H288" s="12">
        <v>77.39</v>
      </c>
      <c r="I288" s="12">
        <f t="shared" si="12"/>
        <v>3</v>
      </c>
      <c r="J288" s="13" t="str">
        <f t="shared" si="13"/>
        <v>B</v>
      </c>
      <c r="K288" s="14" t="str">
        <f t="shared" si="14"/>
        <v>Yaxshi</v>
      </c>
    </row>
    <row r="289" spans="1:11" ht="15.75" customHeight="1" x14ac:dyDescent="0.25">
      <c r="A289" s="10">
        <v>277</v>
      </c>
      <c r="B289" s="11" t="s">
        <v>342</v>
      </c>
      <c r="C289" s="11" t="s">
        <v>292</v>
      </c>
      <c r="D289" s="12">
        <v>37.79</v>
      </c>
      <c r="E289" s="12">
        <v>18.809999999999999</v>
      </c>
      <c r="F289" s="12">
        <v>56.6</v>
      </c>
      <c r="G289" s="12" t="s">
        <v>36</v>
      </c>
      <c r="H289" s="12">
        <v>74.599999999999994</v>
      </c>
      <c r="I289" s="12">
        <f t="shared" si="12"/>
        <v>3</v>
      </c>
      <c r="J289" s="13" t="str">
        <f t="shared" si="13"/>
        <v>B</v>
      </c>
      <c r="K289" s="14" t="str">
        <f t="shared" si="14"/>
        <v>Yaxshi</v>
      </c>
    </row>
    <row r="290" spans="1:11" ht="15.75" customHeight="1" x14ac:dyDescent="0.25">
      <c r="A290" s="10">
        <v>278</v>
      </c>
      <c r="B290" s="11" t="s">
        <v>343</v>
      </c>
      <c r="C290" s="11" t="s">
        <v>292</v>
      </c>
      <c r="D290" s="12">
        <v>33.770000000000003</v>
      </c>
      <c r="E290" s="12">
        <v>15.84</v>
      </c>
      <c r="F290" s="12">
        <v>49.61</v>
      </c>
      <c r="G290" s="12" t="s">
        <v>55</v>
      </c>
      <c r="H290" s="12">
        <v>75.61</v>
      </c>
      <c r="I290" s="12">
        <f t="shared" si="12"/>
        <v>3</v>
      </c>
      <c r="J290" s="13" t="str">
        <f t="shared" si="13"/>
        <v>B</v>
      </c>
      <c r="K290" s="14" t="str">
        <f t="shared" si="14"/>
        <v>Yaxshi</v>
      </c>
    </row>
    <row r="291" spans="1:11" ht="15.75" customHeight="1" x14ac:dyDescent="0.25">
      <c r="A291" s="10">
        <v>279</v>
      </c>
      <c r="B291" s="11" t="s">
        <v>344</v>
      </c>
      <c r="C291" s="11" t="s">
        <v>292</v>
      </c>
      <c r="D291" s="12">
        <v>34.17</v>
      </c>
      <c r="E291" s="12">
        <v>18.809999999999999</v>
      </c>
      <c r="F291" s="12">
        <v>52.98</v>
      </c>
      <c r="G291" s="12" t="s">
        <v>48</v>
      </c>
      <c r="H291" s="12">
        <v>52.98</v>
      </c>
      <c r="I291" s="12">
        <f t="shared" si="12"/>
        <v>0</v>
      </c>
      <c r="J291" s="13" t="str">
        <f t="shared" si="13"/>
        <v>F</v>
      </c>
      <c r="K291" s="14" t="str">
        <f t="shared" si="14"/>
        <v>Qoniqarsiz</v>
      </c>
    </row>
    <row r="292" spans="1:11" ht="15.75" customHeight="1" x14ac:dyDescent="0.25">
      <c r="A292" s="10">
        <v>280</v>
      </c>
      <c r="B292" s="11" t="s">
        <v>345</v>
      </c>
      <c r="C292" s="11" t="s">
        <v>292</v>
      </c>
      <c r="D292" s="12">
        <v>37.79</v>
      </c>
      <c r="E292" s="12">
        <v>16.829999999999998</v>
      </c>
      <c r="F292" s="12">
        <v>54.62</v>
      </c>
      <c r="G292" s="12" t="s">
        <v>66</v>
      </c>
      <c r="H292" s="12">
        <v>92.62</v>
      </c>
      <c r="I292" s="12">
        <f t="shared" si="12"/>
        <v>4</v>
      </c>
      <c r="J292" s="13" t="str">
        <f t="shared" si="13"/>
        <v>A</v>
      </c>
      <c r="K292" s="14" t="str">
        <f t="shared" si="14"/>
        <v>Yaxshi</v>
      </c>
    </row>
    <row r="293" spans="1:11" ht="15.75" customHeight="1" x14ac:dyDescent="0.25">
      <c r="A293" s="10">
        <v>281</v>
      </c>
      <c r="B293" s="11" t="s">
        <v>346</v>
      </c>
      <c r="C293" s="11" t="s">
        <v>292</v>
      </c>
      <c r="D293" s="12">
        <v>33.770000000000003</v>
      </c>
      <c r="E293" s="12">
        <v>16.829999999999998</v>
      </c>
      <c r="F293" s="12">
        <v>50.6</v>
      </c>
      <c r="G293" s="12" t="s">
        <v>55</v>
      </c>
      <c r="H293" s="12">
        <v>76.599999999999994</v>
      </c>
      <c r="I293" s="12">
        <f t="shared" si="12"/>
        <v>3</v>
      </c>
      <c r="J293" s="13" t="str">
        <f t="shared" si="13"/>
        <v>B</v>
      </c>
      <c r="K293" s="14" t="str">
        <f t="shared" si="14"/>
        <v>Yaxshi</v>
      </c>
    </row>
    <row r="294" spans="1:11" ht="15.75" customHeight="1" x14ac:dyDescent="0.25">
      <c r="A294" s="10">
        <v>282</v>
      </c>
      <c r="B294" s="11" t="s">
        <v>347</v>
      </c>
      <c r="C294" s="11" t="s">
        <v>292</v>
      </c>
      <c r="D294" s="12" t="s">
        <v>48</v>
      </c>
      <c r="E294" s="12" t="s">
        <v>48</v>
      </c>
      <c r="F294" s="12" t="s">
        <v>48</v>
      </c>
      <c r="G294" s="12" t="s">
        <v>48</v>
      </c>
      <c r="H294" s="12" t="s">
        <v>48</v>
      </c>
      <c r="I294" s="12">
        <f t="shared" si="12"/>
        <v>0</v>
      </c>
      <c r="J294" s="13" t="str">
        <f t="shared" si="13"/>
        <v>F</v>
      </c>
      <c r="K294" s="14" t="str">
        <f t="shared" si="14"/>
        <v>Qoniqarsiz</v>
      </c>
    </row>
    <row r="295" spans="1:11" ht="15.75" customHeight="1" x14ac:dyDescent="0.25">
      <c r="A295" s="10">
        <v>283</v>
      </c>
      <c r="B295" s="11" t="s">
        <v>348</v>
      </c>
      <c r="C295" s="11" t="s">
        <v>292</v>
      </c>
      <c r="D295" s="12">
        <v>37.39</v>
      </c>
      <c r="E295" s="12">
        <v>18.809999999999999</v>
      </c>
      <c r="F295" s="12">
        <v>56.2</v>
      </c>
      <c r="G295" s="12" t="s">
        <v>64</v>
      </c>
      <c r="H295" s="12">
        <v>72.2</v>
      </c>
      <c r="I295" s="12">
        <f t="shared" si="12"/>
        <v>3</v>
      </c>
      <c r="J295" s="13" t="str">
        <f t="shared" si="13"/>
        <v>B</v>
      </c>
      <c r="K295" s="14" t="str">
        <f t="shared" si="14"/>
        <v>Yaxshi</v>
      </c>
    </row>
    <row r="296" spans="1:11" ht="15.75" customHeight="1" x14ac:dyDescent="0.25">
      <c r="A296" s="15">
        <v>284</v>
      </c>
      <c r="B296" s="16" t="s">
        <v>349</v>
      </c>
      <c r="C296" s="16" t="s">
        <v>292</v>
      </c>
      <c r="D296" s="17">
        <v>36.58</v>
      </c>
      <c r="E296" s="17">
        <v>18.809999999999999</v>
      </c>
      <c r="F296" s="17">
        <v>55.39</v>
      </c>
      <c r="G296" s="17" t="s">
        <v>64</v>
      </c>
      <c r="H296" s="17">
        <v>71.39</v>
      </c>
      <c r="I296" s="17">
        <f t="shared" si="12"/>
        <v>3</v>
      </c>
      <c r="J296" s="18" t="str">
        <f t="shared" si="13"/>
        <v>B</v>
      </c>
      <c r="K296" s="19" t="str">
        <f t="shared" si="14"/>
        <v>Yaxshi</v>
      </c>
    </row>
    <row r="297" spans="1:11" ht="15.75" customHeight="1" x14ac:dyDescent="0.25">
      <c r="A297" s="10">
        <v>285</v>
      </c>
      <c r="B297" s="11" t="s">
        <v>350</v>
      </c>
      <c r="C297" s="11" t="s">
        <v>292</v>
      </c>
      <c r="D297" s="20" t="s">
        <v>48</v>
      </c>
      <c r="E297" s="20" t="s">
        <v>48</v>
      </c>
      <c r="F297" s="20" t="s">
        <v>48</v>
      </c>
      <c r="G297" s="20" t="s">
        <v>48</v>
      </c>
      <c r="H297" s="20" t="s">
        <v>48</v>
      </c>
      <c r="I297" s="20">
        <f t="shared" si="12"/>
        <v>0</v>
      </c>
      <c r="J297" s="13" t="str">
        <f t="shared" si="13"/>
        <v>F</v>
      </c>
      <c r="K297" s="21" t="str">
        <f t="shared" si="14"/>
        <v>Qoniqarsiz</v>
      </c>
    </row>
    <row r="298" spans="1:11" ht="15" customHeight="1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" customHeight="1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8.75" customHeight="1" x14ac:dyDescent="0.2">
      <c r="A300" s="2"/>
      <c r="B300" s="4" t="s">
        <v>3</v>
      </c>
      <c r="C300" s="3" t="s">
        <v>4</v>
      </c>
      <c r="D300" s="3"/>
      <c r="E300" s="3"/>
      <c r="F300" s="3"/>
      <c r="G300" s="3"/>
      <c r="H300" s="3"/>
      <c r="I300" s="3"/>
      <c r="J300" s="3"/>
      <c r="K300" s="3"/>
    </row>
    <row r="301" spans="1:11" ht="18.75" customHeight="1" x14ac:dyDescent="0.2">
      <c r="A301" s="2"/>
      <c r="B301" s="4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8.75" customHeight="1" x14ac:dyDescent="0.2">
      <c r="A302" s="2"/>
      <c r="B302" s="4" t="s">
        <v>9</v>
      </c>
      <c r="C302" s="3" t="s">
        <v>4</v>
      </c>
      <c r="D302" s="3"/>
      <c r="E302" s="3"/>
      <c r="F302" s="3"/>
      <c r="G302" s="3"/>
      <c r="H302" s="3"/>
      <c r="I302" s="3"/>
      <c r="J302" s="3"/>
      <c r="K302" s="3"/>
    </row>
    <row r="303" spans="1:11" ht="18.75" customHeight="1" x14ac:dyDescent="0.2">
      <c r="A303" s="2"/>
      <c r="B303" s="4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8.75" customHeight="1" x14ac:dyDescent="0.2">
      <c r="A304" s="3"/>
      <c r="B304" s="4" t="s">
        <v>14</v>
      </c>
      <c r="C304" s="3" t="s">
        <v>4</v>
      </c>
      <c r="D304" s="3"/>
      <c r="E304" s="3"/>
      <c r="F304" s="3"/>
      <c r="G304" s="3"/>
      <c r="H304" s="3"/>
      <c r="I304" s="3"/>
      <c r="J304" s="3"/>
      <c r="K304" s="3"/>
    </row>
    <row r="305" spans="1:11" ht="18.75" customHeight="1" x14ac:dyDescent="0.2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8.75" customHeight="1" x14ac:dyDescent="0.2">
      <c r="A306" s="3"/>
      <c r="B306" s="4" t="s">
        <v>17</v>
      </c>
      <c r="C306" s="3" t="s">
        <v>4</v>
      </c>
      <c r="D306" s="3"/>
      <c r="E306" s="3"/>
      <c r="F306" s="3"/>
      <c r="G306" s="3"/>
      <c r="H306" s="3"/>
      <c r="I306" s="3"/>
      <c r="J306" s="3"/>
      <c r="K306" s="3"/>
    </row>
    <row r="307" spans="1:11" ht="1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8.75" customHeight="1" x14ac:dyDescent="0.2">
      <c r="A309" s="3"/>
      <c r="B309" s="3"/>
      <c r="C309" s="3"/>
      <c r="D309" s="4" t="s">
        <v>30</v>
      </c>
      <c r="E309" s="3"/>
      <c r="F309" s="3"/>
      <c r="G309" s="3"/>
      <c r="H309" s="3" t="s">
        <v>31</v>
      </c>
      <c r="I309" s="3"/>
      <c r="J309" s="3"/>
      <c r="K309" s="3"/>
    </row>
    <row r="310" spans="1:11" ht="1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8.75" customHeight="1" x14ac:dyDescent="0.2">
      <c r="A312" s="3"/>
      <c r="B312" s="3"/>
      <c r="C312" s="3"/>
      <c r="D312" s="4" t="s">
        <v>39</v>
      </c>
      <c r="E312" s="3"/>
      <c r="F312" s="3"/>
      <c r="G312" s="3"/>
      <c r="H312" s="3" t="s">
        <v>31</v>
      </c>
      <c r="I312" s="3"/>
      <c r="J312" s="3"/>
      <c r="K312" s="3"/>
    </row>
    <row r="313" spans="1:11" ht="1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</sheetData>
  <mergeCells count="12">
    <mergeCell ref="A1:K1"/>
    <mergeCell ref="A2:K2"/>
    <mergeCell ref="A3:K3"/>
    <mergeCell ref="A11:A12"/>
    <mergeCell ref="B11:B12"/>
    <mergeCell ref="C11:C12"/>
    <mergeCell ref="D11:F11"/>
    <mergeCell ref="G11:G12"/>
    <mergeCell ref="H11:H12"/>
    <mergeCell ref="I11:I12"/>
    <mergeCell ref="J11:J12"/>
    <mergeCell ref="K11:K12"/>
  </mergeCells>
  <pageMargins left="0.7" right="0.7" top="0.75" bottom="0.75" header="0.511811023622047" footer="0.511811023622047"/>
  <pageSetup paperSize="9" scale="5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Online2PDF.com</dc:creator>
  <dc:description/>
  <cp:lastModifiedBy>Abdulazizxon I. Saydaliyev</cp:lastModifiedBy>
  <cp:revision>0</cp:revision>
  <cp:lastPrinted>2026-07-14T13:05:49Z</cp:lastPrinted>
  <dcterms:created xsi:type="dcterms:W3CDTF">2026-07-14T11:37:00Z</dcterms:created>
  <dcterms:modified xsi:type="dcterms:W3CDTF">2026-07-23T05:30:57Z</dcterms:modified>
  <dc:language>en-US</dc:language>
</cp:coreProperties>
</file>